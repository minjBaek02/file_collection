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Priority_507" sheetId="1" state="visible" r:id="rId1"/>
    <sheet xmlns:r="http://schemas.openxmlformats.org/officeDocument/2006/relationships" name="Real_Activity_Crosswalk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ethods_Notes" sheetId="4" state="visible" r:id="rId4"/>
  </sheets>
  <definedNames>
    <definedName name="_xlnm._FilterDatabase" localSheetId="0" hidden="1">'Final_Priority_507'!$A$1:$K$508</definedName>
    <definedName name="_xlnm._FilterDatabase" localSheetId="1" hidden="1">'Real_Activity_Crosswalk'!$A$1:$F$28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D966"/>
        <bgColor rgb="00FFD966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  <xf numFmtId="0" fontId="2" fillId="5" borderId="0" pivotButton="0" quotePrefix="0" xfId="0"/>
    <xf numFmtId="0" fontId="1" fillId="2" borderId="0" pivotButton="0" quotePrefix="0" xfId="0"/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8" customWidth="1" min="3" max="3"/>
    <col width="11" customWidth="1" min="4" max="4"/>
    <col width="15" customWidth="1" min="5" max="5"/>
    <col width="14" customWidth="1" min="6" max="6"/>
    <col width="20" customWidth="1" min="7" max="7"/>
    <col width="12" customWidth="1" min="8" max="8"/>
    <col width="12" customWidth="1" min="9" max="9"/>
    <col width="12" customWidth="1" min="10" max="10"/>
    <col width="55" customWidth="1" min="11" max="11"/>
  </cols>
  <sheetData>
    <row r="1">
      <c r="A1" s="1" t="inlineStr">
        <is>
          <t>Accession</t>
        </is>
      </c>
      <c r="B1" s="1" t="inlineStr">
        <is>
          <t>Organism</t>
        </is>
      </c>
      <c r="C1" s="1" t="inlineStr">
        <is>
          <t>Protein name</t>
        </is>
      </c>
      <c r="D1" s="1" t="inlineStr">
        <is>
          <t>Triad intact</t>
        </is>
      </c>
      <c r="E1" s="1" t="inlineStr">
        <is>
          <t>13-pos pattern</t>
        </is>
      </c>
      <c r="F1" s="1" t="inlineStr">
        <is>
          <t>Similarity to HvCHS2 (/13)</t>
        </is>
      </c>
      <c r="G1" s="1" t="inlineStr">
        <is>
          <t>Real-data match (gene)</t>
        </is>
      </c>
      <c r="H1" s="1" t="inlineStr">
        <is>
          <t>Match confidence</t>
        </is>
      </c>
      <c r="I1" s="1" t="inlineStr">
        <is>
          <t>Real coumaroyl-CoA activity</t>
        </is>
      </c>
      <c r="J1" s="1" t="inlineStr">
        <is>
          <t>Real substrates active (/11)</t>
        </is>
      </c>
      <c r="K1" s="1" t="inlineStr">
        <is>
          <t>Real active substrate list</t>
        </is>
      </c>
    </row>
    <row r="2">
      <c r="A2" s="2" t="inlineStr">
        <is>
          <t>A0A553HLF1</t>
        </is>
      </c>
      <c r="B2" s="2" t="inlineStr">
        <is>
          <t>Xylaria flabelliformis</t>
        </is>
      </c>
      <c r="C2" s="2" t="inlineStr">
        <is>
          <t>Chalcone synthase</t>
        </is>
      </c>
      <c r="D2" s="2" t="inlineStr">
        <is>
          <t>True</t>
        </is>
      </c>
      <c r="E2" s="2" t="inlineStr">
        <is>
          <t>ATCSNFVTLHNAP</t>
        </is>
      </c>
      <c r="F2" s="2" t="n">
        <v>5</v>
      </c>
      <c r="G2" s="2" t="inlineStr">
        <is>
          <t>XacuPKS1</t>
        </is>
      </c>
      <c r="H2" s="2" t="n">
        <v>0.791</v>
      </c>
      <c r="I2" s="2" t="n">
        <v>1</v>
      </c>
      <c r="J2" s="2" t="n">
        <v>6</v>
      </c>
      <c r="K2" s="2" t="inlineStr">
        <is>
          <t>coumaroyl-coa,decanoyl-coa,hexanoyl-coa,myristoyl-coa,phenylacetyl-coa,phytanoyl-coa</t>
        </is>
      </c>
    </row>
    <row r="3">
      <c r="A3" s="3" t="inlineStr">
        <is>
          <t>A0A2G7GAE9</t>
        </is>
      </c>
      <c r="B3" s="3" t="inlineStr">
        <is>
          <t>Aspergillus arachidicola</t>
        </is>
      </c>
      <c r="C3" s="3" t="inlineStr">
        <is>
          <t>Chalcone synthase</t>
        </is>
      </c>
      <c r="D3" s="3" t="inlineStr">
        <is>
          <t>True</t>
        </is>
      </c>
      <c r="E3" s="3" t="inlineStr">
        <is>
          <t>CTCCFFFNIHNSP</t>
        </is>
      </c>
      <c r="F3" s="3" t="n">
        <v>7</v>
      </c>
      <c r="G3" s="3" t="inlineStr">
        <is>
          <t>AserPKS2</t>
        </is>
      </c>
      <c r="H3" s="3" t="n">
        <v>0.858</v>
      </c>
      <c r="I3" s="3" t="n">
        <v>0</v>
      </c>
      <c r="J3" s="3" t="n">
        <v>7</v>
      </c>
      <c r="K3" s="3" t="inlineStr">
        <is>
          <t>benzoyl-coa,decanoyl-coa,hexanoyl-coa,methylcrotonyl-coa,myristoyl-coa,oleoyl-coa,phytanoyl-coa</t>
        </is>
      </c>
    </row>
    <row r="4">
      <c r="A4" s="3" t="inlineStr">
        <is>
          <t>A0ACD1IH72</t>
        </is>
      </c>
      <c r="B4" s="3" t="inlineStr">
        <is>
          <t>Aspergillus costaricaensis CBS 115574</t>
        </is>
      </c>
      <c r="C4" s="3" t="inlineStr">
        <is>
          <t>Thiolase-like protein</t>
        </is>
      </c>
      <c r="D4" s="3" t="inlineStr">
        <is>
          <t>True</t>
        </is>
      </c>
      <c r="E4" s="3" t="inlineStr">
        <is>
          <t>VTCCQFYKIHNSP</t>
        </is>
      </c>
      <c r="F4" s="3" t="n">
        <v>7</v>
      </c>
      <c r="G4" s="3" t="inlineStr">
        <is>
          <t>AcosPKS</t>
        </is>
      </c>
      <c r="H4" s="3" t="n">
        <v>1</v>
      </c>
      <c r="I4" s="3" t="n">
        <v>0</v>
      </c>
      <c r="J4" s="3" t="n">
        <v>10</v>
      </c>
      <c r="K4" s="3" t="inlineStr">
        <is>
          <t>N-CH3-anthraniloyl-coa,acetyl-coa,benzoyl-coa,decanoyl-coa,hexanoyl-coa,methylcrotonyl-coa,myristoyl-coa,oleoyl-coa,phenylacetyl-coa,phytanoyl-coa</t>
        </is>
      </c>
    </row>
    <row r="5">
      <c r="A5" s="3" t="inlineStr">
        <is>
          <t>A0A059J6Q8</t>
        </is>
      </c>
      <c r="B5" s="3" t="inlineStr">
        <is>
          <t>Trichophyton interdigitale (strain MR816)</t>
        </is>
      </c>
      <c r="C5" s="3" t="inlineStr">
        <is>
          <t>Chalcone synthase</t>
        </is>
      </c>
      <c r="D5" s="3" t="inlineStr">
        <is>
          <t>True</t>
        </is>
      </c>
      <c r="E5" s="3" t="inlineStr">
        <is>
          <t>CTCCNFSYLHNSP</t>
        </is>
      </c>
      <c r="F5" s="3" t="n">
        <v>6</v>
      </c>
      <c r="G5" s="3" t="inlineStr">
        <is>
          <t>TtonPKS</t>
        </is>
      </c>
      <c r="H5" s="3" t="n">
        <v>0.824</v>
      </c>
      <c r="I5" s="3" t="n">
        <v>0</v>
      </c>
      <c r="J5" s="3" t="n">
        <v>6</v>
      </c>
      <c r="K5" s="3" t="inlineStr">
        <is>
          <t>benzoyl-coa,decanoyl-coa,hexanoyl-coa,methylcrotonyl-coa,myristoyl-coa,phytanoyl-coa</t>
        </is>
      </c>
    </row>
    <row r="6">
      <c r="A6" s="3" t="inlineStr">
        <is>
          <t>A0A0D2BWQ8</t>
        </is>
      </c>
      <c r="B6" s="3" t="inlineStr">
        <is>
          <t>Cladophialophora immunda</t>
        </is>
      </c>
      <c r="C6" s="3" t="inlineStr">
        <is>
          <t>Chalcone synthase</t>
        </is>
      </c>
      <c r="D6" s="3" t="inlineStr">
        <is>
          <t>True</t>
        </is>
      </c>
      <c r="E6" s="3" t="inlineStr">
        <is>
          <t>CTCSLFFDLHNSP</t>
        </is>
      </c>
      <c r="F6" s="3" t="n">
        <v>6</v>
      </c>
      <c r="G6" s="3" t="inlineStr">
        <is>
          <t>FerePKS</t>
        </is>
      </c>
      <c r="H6" s="3" t="n">
        <v>0.7</v>
      </c>
      <c r="I6" s="3" t="n">
        <v>0</v>
      </c>
      <c r="J6" s="3" t="n">
        <v>8</v>
      </c>
      <c r="K6" s="3" t="inlineStr">
        <is>
          <t>N-CH3-anthraniloyl-coa,acetyl-coa,benzoyl-coa,decanoyl-coa,hexanoyl-coa,methylcrotonyl-coa,myristoyl-coa,phenylacetyl-coa</t>
        </is>
      </c>
    </row>
    <row r="7">
      <c r="A7" s="3" t="inlineStr">
        <is>
          <t>A0A2P5I7D7</t>
        </is>
      </c>
      <c r="B7" s="3" t="inlineStr">
        <is>
          <t>Diaporthe helianthi</t>
        </is>
      </c>
      <c r="C7" s="3" t="inlineStr">
        <is>
          <t>Chalcone and stilbene synthase</t>
        </is>
      </c>
      <c r="D7" s="3" t="inlineStr">
        <is>
          <t>True</t>
        </is>
      </c>
      <c r="E7" s="3" t="inlineStr">
        <is>
          <t>CTCSMFFDLHNSP</t>
        </is>
      </c>
      <c r="F7" s="3" t="n">
        <v>6</v>
      </c>
      <c r="G7" s="3" t="inlineStr">
        <is>
          <t>DhelPKS</t>
        </is>
      </c>
      <c r="H7" s="3" t="n">
        <v>1</v>
      </c>
      <c r="I7" s="3" t="n">
        <v>0</v>
      </c>
      <c r="J7" s="3" t="n">
        <v>5</v>
      </c>
      <c r="K7" s="3" t="inlineStr">
        <is>
          <t>N-CH3-anthraniloyl-coa,decanoyl-coa,hexanoyl-coa,myristoyl-coa,oleoyl-coa</t>
        </is>
      </c>
    </row>
    <row r="8">
      <c r="A8" s="3" t="inlineStr">
        <is>
          <t>A0ABQ8NUE1</t>
        </is>
      </c>
      <c r="B8" s="3" t="inlineStr">
        <is>
          <t>Pyricularia grisea</t>
        </is>
      </c>
      <c r="C8" s="3" t="inlineStr">
        <is>
          <t>Uncharacterized protein</t>
        </is>
      </c>
      <c r="D8" s="3" t="inlineStr">
        <is>
          <t>True</t>
        </is>
      </c>
      <c r="E8" s="3" t="inlineStr">
        <is>
          <t>CTCSFFFDLHNSP</t>
        </is>
      </c>
      <c r="F8" s="3" t="n">
        <v>6</v>
      </c>
      <c r="G8" s="3" t="inlineStr">
        <is>
          <t>MoryPKS</t>
        </is>
      </c>
      <c r="H8" s="3" t="n">
        <v>1</v>
      </c>
      <c r="I8" s="3" t="n">
        <v>0</v>
      </c>
      <c r="J8" s="3" t="n">
        <v>5</v>
      </c>
      <c r="K8" s="3" t="inlineStr">
        <is>
          <t>N-CH3-anthraniloyl-coa,decanoyl-coa,hexanoyl-coa,myristoyl-coa,oleoyl-coa</t>
        </is>
      </c>
    </row>
    <row r="9">
      <c r="A9" s="3" t="inlineStr">
        <is>
          <t>A0ACB7NUY9</t>
        </is>
      </c>
      <c r="B9" s="3" t="inlineStr">
        <is>
          <t>Chaetomium tenue</t>
        </is>
      </c>
      <c r="C9" s="3" t="inlineStr">
        <is>
          <t>Thiolase-like protein</t>
        </is>
      </c>
      <c r="D9" s="3" t="inlineStr">
        <is>
          <t>True</t>
        </is>
      </c>
      <c r="E9" s="3" t="inlineStr">
        <is>
          <t>CTCSLFFDLHNSP</t>
        </is>
      </c>
      <c r="F9" s="3" t="n">
        <v>6</v>
      </c>
      <c r="G9" s="3" t="inlineStr">
        <is>
          <t>CgloPKS</t>
        </is>
      </c>
      <c r="H9" s="3" t="n">
        <v>1</v>
      </c>
      <c r="I9" s="3" t="n">
        <v>0</v>
      </c>
      <c r="J9" s="3" t="n">
        <v>7</v>
      </c>
      <c r="K9" s="3" t="inlineStr">
        <is>
          <t>N-CH3-anthraniloyl-coa,acetyl-coa,benzoyl-coa,decanoyl-coa,hexanoyl-coa,methylcrotonyl-coa,myristoyl-coa</t>
        </is>
      </c>
    </row>
    <row r="10">
      <c r="A10" s="3" t="inlineStr">
        <is>
          <t>W3WYM6</t>
        </is>
      </c>
      <c r="B10" s="3" t="inlineStr">
        <is>
          <t>Pestalotiopsis fici (strain W106-1 / CGMCC3.15140)</t>
        </is>
      </c>
      <c r="C10" s="3" t="inlineStr">
        <is>
          <t>Uncharacterized protein</t>
        </is>
      </c>
      <c r="D10" s="3" t="inlineStr">
        <is>
          <t>True</t>
        </is>
      </c>
      <c r="E10" s="3" t="inlineStr">
        <is>
          <t>CTCSMFFDLHNSP</t>
        </is>
      </c>
      <c r="F10" s="3" t="n">
        <v>6</v>
      </c>
      <c r="G10" s="3" t="inlineStr">
        <is>
          <t>PficPKS</t>
        </is>
      </c>
      <c r="H10" s="3" t="n">
        <v>1</v>
      </c>
      <c r="I10" s="3" t="n">
        <v>0</v>
      </c>
      <c r="J10" s="3" t="n">
        <v>6</v>
      </c>
      <c r="K10" s="3" t="inlineStr">
        <is>
          <t>N-CH3-anthraniloyl-coa,decanoyl-coa,hexanoyl-coa,methylcrotonyl-coa,myristoyl-coa,oleoyl-coa</t>
        </is>
      </c>
    </row>
    <row r="11">
      <c r="A11" s="4" t="inlineStr">
        <is>
          <t>A0A6A6GAU0</t>
        </is>
      </c>
      <c r="B11" s="4" t="inlineStr">
        <is>
          <t>Elsinoe ampelina</t>
        </is>
      </c>
      <c r="C11" s="4" t="inlineStr">
        <is>
          <t>Thiolase-like protein</t>
        </is>
      </c>
      <c r="D11" s="4" t="inlineStr">
        <is>
          <t>True</t>
        </is>
      </c>
      <c r="E11" s="4" t="inlineStr">
        <is>
          <t>CTCCAFLVIHNSP</t>
        </is>
      </c>
      <c r="F11" s="4" t="n">
        <v>8</v>
      </c>
      <c r="G11" s="4" t="inlineStr"/>
      <c r="H11" s="4" t="n"/>
      <c r="I11" s="4" t="n"/>
      <c r="J11" s="4" t="n"/>
      <c r="K11" s="4" t="inlineStr"/>
    </row>
    <row r="12">
      <c r="A12" s="4" t="inlineStr">
        <is>
          <t>A0A889ZF18</t>
        </is>
      </c>
      <c r="B12" s="4" t="inlineStr">
        <is>
          <t>Naganishia uzbekistanensis</t>
        </is>
      </c>
      <c r="C12" s="4" t="inlineStr">
        <is>
          <t>PKSIII</t>
        </is>
      </c>
      <c r="D12" s="4" t="inlineStr">
        <is>
          <t>True</t>
        </is>
      </c>
      <c r="E12" s="4" t="inlineStr">
        <is>
          <t>CTCTLFFNIHNSP</t>
        </is>
      </c>
      <c r="F12" s="4" t="n">
        <v>8</v>
      </c>
      <c r="G12" s="4" t="inlineStr"/>
      <c r="H12" s="4" t="n"/>
      <c r="I12" s="4" t="n"/>
      <c r="J12" s="4" t="n"/>
      <c r="K12" s="4" t="inlineStr"/>
    </row>
    <row r="13">
      <c r="A13" s="4" t="inlineStr">
        <is>
          <t>A0A8H3TS81</t>
        </is>
      </c>
      <c r="B13" s="4" t="inlineStr">
        <is>
          <t>Naganishia liquefaciens</t>
        </is>
      </c>
      <c r="C13" s="4" t="inlineStr">
        <is>
          <t>Type III polyketide synthase</t>
        </is>
      </c>
      <c r="D13" s="4" t="inlineStr">
        <is>
          <t>True</t>
        </is>
      </c>
      <c r="E13" s="4" t="inlineStr">
        <is>
          <t>CTCTLFFNIHNSP</t>
        </is>
      </c>
      <c r="F13" s="4" t="n">
        <v>8</v>
      </c>
      <c r="G13" s="4" t="inlineStr"/>
      <c r="H13" s="4" t="n"/>
      <c r="I13" s="4" t="n"/>
      <c r="J13" s="4" t="n"/>
      <c r="K13" s="4" t="inlineStr"/>
    </row>
    <row r="14">
      <c r="A14" s="4" t="inlineStr">
        <is>
          <t>A0A8K0NPA6</t>
        </is>
      </c>
      <c r="B14" s="4" t="inlineStr">
        <is>
          <t>Filobasidium floriforme</t>
        </is>
      </c>
      <c r="C14" s="4" t="inlineStr">
        <is>
          <t>Thiolase-like protein</t>
        </is>
      </c>
      <c r="D14" s="4" t="inlineStr">
        <is>
          <t>True</t>
        </is>
      </c>
      <c r="E14" s="4" t="inlineStr">
        <is>
          <t>CTCTLFFNIHNSP</t>
        </is>
      </c>
      <c r="F14" s="4" t="n">
        <v>8</v>
      </c>
      <c r="G14" s="4" t="inlineStr"/>
      <c r="H14" s="4" t="n"/>
      <c r="I14" s="4" t="n"/>
      <c r="J14" s="4" t="n"/>
      <c r="K14" s="4" t="inlineStr"/>
    </row>
    <row r="15">
      <c r="A15" s="4" t="inlineStr">
        <is>
          <t>A0A9W9VRL8</t>
        </is>
      </c>
      <c r="B15" s="4" t="inlineStr">
        <is>
          <t>Penicillium cosmopolitanum</t>
        </is>
      </c>
      <c r="C15" s="4" t="inlineStr">
        <is>
          <t>Thiolase-like protein</t>
        </is>
      </c>
      <c r="D15" s="4" t="inlineStr">
        <is>
          <t>True</t>
        </is>
      </c>
      <c r="E15" s="4" t="inlineStr">
        <is>
          <t>CTCTFFFNIHNSP</t>
        </is>
      </c>
      <c r="F15" s="4" t="n">
        <v>8</v>
      </c>
      <c r="G15" s="4" t="inlineStr"/>
      <c r="H15" s="4" t="n"/>
      <c r="I15" s="4" t="n"/>
      <c r="J15" s="4" t="n"/>
      <c r="K15" s="4" t="inlineStr"/>
    </row>
    <row r="16">
      <c r="A16" s="4" t="inlineStr">
        <is>
          <t>A0ACC2WCV7</t>
        </is>
      </c>
      <c r="B16" s="4" t="inlineStr">
        <is>
          <t>Naganishia friedmannii</t>
        </is>
      </c>
      <c r="C16" s="4" t="inlineStr">
        <is>
          <t>Uncharacterized protein</t>
        </is>
      </c>
      <c r="D16" s="4" t="inlineStr">
        <is>
          <t>True</t>
        </is>
      </c>
      <c r="E16" s="4" t="inlineStr">
        <is>
          <t>CTCTLFFNIHNSP</t>
        </is>
      </c>
      <c r="F16" s="4" t="n">
        <v>8</v>
      </c>
      <c r="G16" s="4" t="inlineStr"/>
      <c r="H16" s="4" t="n"/>
      <c r="I16" s="4" t="n"/>
      <c r="J16" s="4" t="n"/>
      <c r="K16" s="4" t="inlineStr"/>
    </row>
    <row r="17">
      <c r="A17" s="4" t="inlineStr">
        <is>
          <t>A0ACC2XS98</t>
        </is>
      </c>
      <c r="B17" s="4" t="inlineStr">
        <is>
          <t>Naganishia vaughanmartiniae</t>
        </is>
      </c>
      <c r="C17" s="4" t="inlineStr">
        <is>
          <t>Chalcone/stilbene synthase C-terminal domain-containing protein</t>
        </is>
      </c>
      <c r="D17" s="4" t="inlineStr">
        <is>
          <t>True</t>
        </is>
      </c>
      <c r="E17" s="4" t="inlineStr">
        <is>
          <t>--CTLFFNIHNSP</t>
        </is>
      </c>
      <c r="F17" s="4" t="n">
        <v>8</v>
      </c>
      <c r="G17" s="4" t="inlineStr"/>
      <c r="H17" s="4" t="n"/>
      <c r="I17" s="4" t="n"/>
      <c r="J17" s="4" t="n"/>
      <c r="K17" s="4" t="inlineStr"/>
    </row>
    <row r="18">
      <c r="A18" s="4" t="inlineStr">
        <is>
          <t>A0ACC2XXF6</t>
        </is>
      </c>
      <c r="B18" s="4" t="inlineStr">
        <is>
          <t>Naganishia onofrii</t>
        </is>
      </c>
      <c r="C18" s="4" t="inlineStr">
        <is>
          <t>Chalcone/stilbene synthase C-terminal domain-containing protein</t>
        </is>
      </c>
      <c r="D18" s="4" t="inlineStr">
        <is>
          <t>True</t>
        </is>
      </c>
      <c r="E18" s="4" t="inlineStr">
        <is>
          <t>--CTLFFNIHNSP</t>
        </is>
      </c>
      <c r="F18" s="4" t="n">
        <v>8</v>
      </c>
      <c r="G18" s="4" t="inlineStr"/>
      <c r="H18" s="4" t="n"/>
      <c r="I18" s="4" t="n"/>
      <c r="J18" s="4" t="n"/>
      <c r="K18" s="4" t="inlineStr"/>
    </row>
    <row r="19">
      <c r="A19" s="4" t="inlineStr">
        <is>
          <t>R0KEQ2</t>
        </is>
      </c>
      <c r="B19" s="4" t="inlineStr">
        <is>
          <t>Exserohilum turcicum (strain 28A)</t>
        </is>
      </c>
      <c r="C19" s="4" t="inlineStr">
        <is>
          <t>Thiolase-like protein</t>
        </is>
      </c>
      <c r="D19" s="4" t="inlineStr">
        <is>
          <t>True</t>
        </is>
      </c>
      <c r="E19" s="4" t="inlineStr">
        <is>
          <t>--CCFFYHIHNSP</t>
        </is>
      </c>
      <c r="F19" s="4" t="n">
        <v>8</v>
      </c>
      <c r="G19" s="4" t="inlineStr"/>
      <c r="H19" s="4" t="n"/>
      <c r="I19" s="4" t="n"/>
      <c r="J19" s="4" t="n"/>
      <c r="K19" s="4" t="inlineStr"/>
    </row>
    <row r="20">
      <c r="A20" s="4" t="inlineStr">
        <is>
          <t>S8AYV8</t>
        </is>
      </c>
      <c r="B20" s="4" t="inlineStr">
        <is>
          <t>Penicillium oxalicum (strain 114-2 / CGMCC 5302)</t>
        </is>
      </c>
      <c r="C20" s="4" t="inlineStr">
        <is>
          <t>Uncharacterized protein</t>
        </is>
      </c>
      <c r="D20" s="4" t="inlineStr">
        <is>
          <t>True</t>
        </is>
      </c>
      <c r="E20" s="4" t="inlineStr">
        <is>
          <t>CTCTYFYNIHNSP</t>
        </is>
      </c>
      <c r="F20" s="4" t="n">
        <v>8</v>
      </c>
      <c r="G20" s="4" t="inlineStr"/>
      <c r="H20" s="4" t="n"/>
      <c r="I20" s="4" t="n"/>
      <c r="J20" s="4" t="n"/>
      <c r="K20" s="4" t="inlineStr"/>
    </row>
    <row r="21">
      <c r="A21" s="4" t="inlineStr">
        <is>
          <t>A0A0F7TBQ5</t>
        </is>
      </c>
      <c r="B21" s="4" t="inlineStr">
        <is>
          <t>Penicillium brasilianum</t>
        </is>
      </c>
      <c r="C21" s="4" t="inlineStr">
        <is>
          <t>Chalcone synthase</t>
        </is>
      </c>
      <c r="D21" s="4" t="inlineStr">
        <is>
          <t>True</t>
        </is>
      </c>
      <c r="E21" s="4" t="inlineStr">
        <is>
          <t>CTCVFFFNIHNSP</t>
        </is>
      </c>
      <c r="F21" s="4" t="n">
        <v>7</v>
      </c>
      <c r="G21" s="4" t="inlineStr"/>
      <c r="H21" s="4" t="n"/>
      <c r="I21" s="4" t="n"/>
      <c r="J21" s="4" t="n"/>
      <c r="K21" s="4" t="inlineStr"/>
    </row>
    <row r="22">
      <c r="A22" s="4" t="inlineStr">
        <is>
          <t>A0A0L1JI55</t>
        </is>
      </c>
      <c r="B22" s="4" t="inlineStr">
        <is>
          <t>Aspergillus nomiae NRRL (strain ATCC 15546 / NRRL 13137 / CBS 260.88 / M93)</t>
        </is>
      </c>
      <c r="C22" s="4" t="inlineStr">
        <is>
          <t>Putative chalcone synthase</t>
        </is>
      </c>
      <c r="D22" s="4" t="inlineStr">
        <is>
          <t>True</t>
        </is>
      </c>
      <c r="E22" s="4" t="inlineStr">
        <is>
          <t>CTCCFFFNIHNSP</t>
        </is>
      </c>
      <c r="F22" s="4" t="n">
        <v>7</v>
      </c>
      <c r="G22" s="4" t="inlineStr"/>
      <c r="H22" s="4" t="n"/>
      <c r="I22" s="4" t="n"/>
      <c r="J22" s="4" t="n"/>
      <c r="K22" s="4" t="inlineStr"/>
    </row>
    <row r="23">
      <c r="A23" s="4" t="inlineStr">
        <is>
          <t>A0A163JPU8</t>
        </is>
      </c>
      <c r="B23" s="4" t="inlineStr">
        <is>
          <t>Didymella rabiei</t>
        </is>
      </c>
      <c r="C23" s="4" t="inlineStr">
        <is>
          <t>Transferase</t>
        </is>
      </c>
      <c r="D23" s="4" t="inlineStr">
        <is>
          <t>True</t>
        </is>
      </c>
      <c r="E23" s="4" t="inlineStr">
        <is>
          <t>CTCCFFYVIHNSP</t>
        </is>
      </c>
      <c r="F23" s="4" t="n">
        <v>7</v>
      </c>
      <c r="G23" s="4" t="inlineStr"/>
      <c r="H23" s="4" t="n"/>
      <c r="I23" s="4" t="n"/>
      <c r="J23" s="4" t="n"/>
      <c r="K23" s="4" t="inlineStr"/>
    </row>
    <row r="24">
      <c r="A24" s="4" t="inlineStr">
        <is>
          <t>A0A177CLZ2</t>
        </is>
      </c>
      <c r="B24" s="4" t="inlineStr">
        <is>
          <t>Paraphaeosphaeria sporulosa</t>
        </is>
      </c>
      <c r="C24" s="4" t="inlineStr">
        <is>
          <t>Thiolase-like protein</t>
        </is>
      </c>
      <c r="D24" s="4" t="inlineStr">
        <is>
          <t>True</t>
        </is>
      </c>
      <c r="E24" s="4" t="inlineStr">
        <is>
          <t>CTCCFFYNIHNSP</t>
        </is>
      </c>
      <c r="F24" s="4" t="n">
        <v>7</v>
      </c>
      <c r="G24" s="4" t="inlineStr"/>
      <c r="H24" s="4" t="n"/>
      <c r="I24" s="4" t="n"/>
      <c r="J24" s="4" t="n"/>
      <c r="K24" s="4" t="inlineStr"/>
    </row>
    <row r="25">
      <c r="A25" s="4" t="inlineStr">
        <is>
          <t>A0A177DPN1</t>
        </is>
      </c>
      <c r="B25" s="4" t="inlineStr">
        <is>
          <t>Alternaria alternata</t>
        </is>
      </c>
      <c r="C25" s="4" t="inlineStr">
        <is>
          <t>Polyketide synthase PksE</t>
        </is>
      </c>
      <c r="D25" s="4" t="inlineStr">
        <is>
          <t>True</t>
        </is>
      </c>
      <c r="E25" s="4" t="inlineStr">
        <is>
          <t>CTC--FYVIHNSP</t>
        </is>
      </c>
      <c r="F25" s="4" t="n">
        <v>7</v>
      </c>
      <c r="G25" s="4" t="inlineStr"/>
      <c r="H25" s="4" t="n"/>
      <c r="I25" s="4" t="n"/>
      <c r="J25" s="4" t="n"/>
      <c r="K25" s="4" t="inlineStr"/>
    </row>
    <row r="26">
      <c r="A26" s="4" t="inlineStr">
        <is>
          <t>A0A1F7ZP32</t>
        </is>
      </c>
      <c r="B26" s="4" t="inlineStr">
        <is>
          <t>Aspergillus bombycis</t>
        </is>
      </c>
      <c r="C26" s="4" t="inlineStr">
        <is>
          <t>Putative chalcone synthase</t>
        </is>
      </c>
      <c r="D26" s="4" t="inlineStr">
        <is>
          <t>True</t>
        </is>
      </c>
      <c r="E26" s="4" t="inlineStr">
        <is>
          <t>CTCCFFFNIHNSP</t>
        </is>
      </c>
      <c r="F26" s="4" t="n">
        <v>7</v>
      </c>
      <c r="G26" s="4" t="inlineStr"/>
      <c r="H26" s="4" t="n"/>
      <c r="I26" s="4" t="n"/>
      <c r="J26" s="4" t="n"/>
      <c r="K26" s="4" t="inlineStr"/>
    </row>
    <row r="27">
      <c r="A27" s="4" t="inlineStr">
        <is>
          <t>A0A1Q5UH31</t>
        </is>
      </c>
      <c r="B27" s="4" t="inlineStr">
        <is>
          <t>Penicillium subrubescens</t>
        </is>
      </c>
      <c r="C27" s="4" t="inlineStr">
        <is>
          <t>Chalcone synthase 1B</t>
        </is>
      </c>
      <c r="D27" s="4" t="inlineStr">
        <is>
          <t>True</t>
        </is>
      </c>
      <c r="E27" s="4" t="inlineStr">
        <is>
          <t>CTCPFFYNIHNSP</t>
        </is>
      </c>
      <c r="F27" s="4" t="n">
        <v>7</v>
      </c>
      <c r="G27" s="4" t="inlineStr"/>
      <c r="H27" s="4" t="n"/>
      <c r="I27" s="4" t="n"/>
      <c r="J27" s="4" t="n"/>
      <c r="K27" s="4" t="inlineStr"/>
    </row>
    <row r="28">
      <c r="A28" s="4" t="inlineStr">
        <is>
          <t>A0A1Y1ZIB6</t>
        </is>
      </c>
      <c r="B28" s="4" t="inlineStr">
        <is>
          <t>Clohesyomyces aquaticus</t>
        </is>
      </c>
      <c r="C28" s="4" t="inlineStr">
        <is>
          <t>Chalcone synthase-like protein</t>
        </is>
      </c>
      <c r="D28" s="4" t="inlineStr">
        <is>
          <t>True</t>
        </is>
      </c>
      <c r="E28" s="4" t="inlineStr">
        <is>
          <t>CSCCFFMLLHNSP</t>
        </is>
      </c>
      <c r="F28" s="4" t="n">
        <v>7</v>
      </c>
      <c r="G28" s="4" t="inlineStr"/>
      <c r="H28" s="4" t="n"/>
      <c r="I28" s="4" t="n"/>
      <c r="J28" s="4" t="n"/>
      <c r="K28" s="4" t="inlineStr"/>
    </row>
    <row r="29">
      <c r="A29" s="4" t="inlineStr">
        <is>
          <t>A0A1Y2LMQ8</t>
        </is>
      </c>
      <c r="B29" s="4" t="inlineStr">
        <is>
          <t>Epicoccum nigrum</t>
        </is>
      </c>
      <c r="C29" s="4" t="inlineStr">
        <is>
          <t>Chalcone synthase</t>
        </is>
      </c>
      <c r="D29" s="4" t="inlineStr">
        <is>
          <t>True</t>
        </is>
      </c>
      <c r="E29" s="4" t="inlineStr">
        <is>
          <t>CTCCFFYSIHNSP</t>
        </is>
      </c>
      <c r="F29" s="4" t="n">
        <v>7</v>
      </c>
      <c r="G29" s="4" t="inlineStr"/>
      <c r="H29" s="4" t="n"/>
      <c r="I29" s="4" t="n"/>
      <c r="J29" s="4" t="n"/>
      <c r="K29" s="4" t="inlineStr"/>
    </row>
    <row r="30">
      <c r="A30" s="4" t="inlineStr">
        <is>
          <t>A0A2A9P6W4</t>
        </is>
      </c>
      <c r="B30" s="4" t="inlineStr">
        <is>
          <t>Ophiocordyceps unilateralis</t>
        </is>
      </c>
      <c r="C30" s="4" t="inlineStr">
        <is>
          <t>Chalcone synthase</t>
        </is>
      </c>
      <c r="D30" s="4" t="inlineStr">
        <is>
          <t>True</t>
        </is>
      </c>
      <c r="E30" s="4" t="inlineStr">
        <is>
          <t>CTCTLFFDLHNSP</t>
        </is>
      </c>
      <c r="F30" s="4" t="n">
        <v>7</v>
      </c>
      <c r="G30" s="4" t="inlineStr"/>
      <c r="H30" s="4" t="n"/>
      <c r="I30" s="4" t="n"/>
      <c r="J30" s="4" t="n"/>
      <c r="K30" s="4" t="inlineStr"/>
    </row>
    <row r="31">
      <c r="A31" s="4" t="inlineStr">
        <is>
          <t>A0A2B7Y2N2</t>
        </is>
      </c>
      <c r="B31" s="4" t="inlineStr">
        <is>
          <t>Helicocarpus griseus UAMH5409</t>
        </is>
      </c>
      <c r="C31" s="4" t="inlineStr">
        <is>
          <t>Chalcone synthase</t>
        </is>
      </c>
      <c r="D31" s="4" t="inlineStr">
        <is>
          <t>True</t>
        </is>
      </c>
      <c r="E31" s="4" t="inlineStr">
        <is>
          <t>ATCTNFCLMHNSP</t>
        </is>
      </c>
      <c r="F31" s="4" t="n">
        <v>7</v>
      </c>
      <c r="G31" s="4" t="inlineStr"/>
      <c r="H31" s="4" t="n"/>
      <c r="I31" s="4" t="n"/>
      <c r="J31" s="4" t="n"/>
      <c r="K31" s="4" t="inlineStr"/>
    </row>
    <row r="32">
      <c r="A32" s="4" t="inlineStr">
        <is>
          <t>A0A2C5ZCI2</t>
        </is>
      </c>
      <c r="B32" s="4" t="inlineStr">
        <is>
          <t>Ophiocordyceps camponoti-rufipedis</t>
        </is>
      </c>
      <c r="C32" s="4" t="inlineStr">
        <is>
          <t>Chalcone synthase</t>
        </is>
      </c>
      <c r="D32" s="4" t="inlineStr">
        <is>
          <t>True</t>
        </is>
      </c>
      <c r="E32" s="4" t="inlineStr">
        <is>
          <t>CTCTLFFDLHNSP</t>
        </is>
      </c>
      <c r="F32" s="4" t="n">
        <v>7</v>
      </c>
      <c r="G32" s="4" t="inlineStr"/>
      <c r="H32" s="4" t="n"/>
      <c r="I32" s="4" t="n"/>
      <c r="J32" s="4" t="n"/>
      <c r="K32" s="4" t="inlineStr"/>
    </row>
    <row r="33">
      <c r="A33" s="4" t="inlineStr">
        <is>
          <t>A0A2J6TDB9</t>
        </is>
      </c>
      <c r="B33" s="4" t="inlineStr">
        <is>
          <t>Hyaloscypha bicolor E</t>
        </is>
      </c>
      <c r="C33" s="4" t="inlineStr">
        <is>
          <t>Thiolase-like protein</t>
        </is>
      </c>
      <c r="D33" s="4" t="inlineStr">
        <is>
          <t>True</t>
        </is>
      </c>
      <c r="E33" s="4" t="inlineStr">
        <is>
          <t>TTCCNFWDLHNSP</t>
        </is>
      </c>
      <c r="F33" s="4" t="n">
        <v>7</v>
      </c>
      <c r="G33" s="4" t="inlineStr">
        <is>
          <t>XylPKS</t>
        </is>
      </c>
      <c r="H33" s="4" t="n">
        <v>0.311</v>
      </c>
      <c r="I33" s="4" t="n">
        <v>0</v>
      </c>
      <c r="J33" s="4" t="n">
        <v>2</v>
      </c>
      <c r="K33" s="4" t="inlineStr">
        <is>
          <t>oleoyl-coa,phenylacetyl-coa</t>
        </is>
      </c>
    </row>
    <row r="34">
      <c r="A34" s="4" t="inlineStr">
        <is>
          <t>A0A2R6NMC4</t>
        </is>
      </c>
      <c r="B34" s="4" t="inlineStr">
        <is>
          <t>Hermanssonia centrifuga</t>
        </is>
      </c>
      <c r="C34" s="4" t="inlineStr">
        <is>
          <t>Chalcone synthase</t>
        </is>
      </c>
      <c r="D34" s="4" t="inlineStr">
        <is>
          <t>True</t>
        </is>
      </c>
      <c r="E34" s="4" t="inlineStr">
        <is>
          <t>CTCTMFFDLHNSP</t>
        </is>
      </c>
      <c r="F34" s="4" t="n">
        <v>7</v>
      </c>
      <c r="G34" s="4" t="inlineStr"/>
      <c r="H34" s="4" t="n"/>
      <c r="I34" s="4" t="n"/>
      <c r="J34" s="4" t="n"/>
      <c r="K34" s="4" t="inlineStr"/>
    </row>
    <row r="35">
      <c r="A35" s="4" t="inlineStr">
        <is>
          <t>A0A2V5I787</t>
        </is>
      </c>
      <c r="B35" s="4" t="inlineStr">
        <is>
          <t>Aspergillus violaceofuscus (strain CBS 115571)</t>
        </is>
      </c>
      <c r="C35" s="4" t="inlineStr">
        <is>
          <t>Thiolase-like protein</t>
        </is>
      </c>
      <c r="D35" s="4" t="inlineStr">
        <is>
          <t>True</t>
        </is>
      </c>
      <c r="E35" s="4" t="inlineStr">
        <is>
          <t>VTCCHFYHLHNSP</t>
        </is>
      </c>
      <c r="F35" s="4" t="n">
        <v>7</v>
      </c>
      <c r="G35" s="4" t="inlineStr"/>
      <c r="H35" s="4" t="n"/>
      <c r="I35" s="4" t="n"/>
      <c r="J35" s="4" t="n"/>
      <c r="K35" s="4" t="inlineStr"/>
    </row>
    <row r="36">
      <c r="A36" s="3" t="inlineStr">
        <is>
          <t>A0A2W1FIY5</t>
        </is>
      </c>
      <c r="B36" s="3" t="inlineStr">
        <is>
          <t>Pyrenophora tritici-repentis</t>
        </is>
      </c>
      <c r="C36" s="3" t="inlineStr">
        <is>
          <t>Polyketide synthase PksE</t>
        </is>
      </c>
      <c r="D36" s="3" t="inlineStr">
        <is>
          <t>True</t>
        </is>
      </c>
      <c r="E36" s="3" t="inlineStr">
        <is>
          <t>CTCCFFYDIHNSP</t>
        </is>
      </c>
      <c r="F36" s="3" t="n">
        <v>7</v>
      </c>
      <c r="G36" s="3" t="inlineStr">
        <is>
          <t>PtriPKS</t>
        </is>
      </c>
      <c r="H36" s="3" t="n">
        <v>1</v>
      </c>
      <c r="I36" s="3" t="n">
        <v>0</v>
      </c>
      <c r="J36" s="3" t="n">
        <v>1</v>
      </c>
      <c r="K36" s="3" t="inlineStr">
        <is>
          <t>oleoyl-coa</t>
        </is>
      </c>
    </row>
    <row r="37">
      <c r="A37" s="4" t="inlineStr">
        <is>
          <t>A0A370P725</t>
        </is>
      </c>
      <c r="B37" s="4" t="inlineStr">
        <is>
          <t>Aspergillus phoenicis ATCC 13157</t>
        </is>
      </c>
      <c r="C37" s="4" t="inlineStr">
        <is>
          <t>Thiolase-like protein</t>
        </is>
      </c>
      <c r="D37" s="4" t="inlineStr">
        <is>
          <t>True</t>
        </is>
      </c>
      <c r="E37" s="4" t="inlineStr">
        <is>
          <t>VTCCHFYTIHNSP</t>
        </is>
      </c>
      <c r="F37" s="4" t="n">
        <v>7</v>
      </c>
      <c r="G37" s="4" t="inlineStr"/>
      <c r="H37" s="4" t="n"/>
      <c r="I37" s="4" t="n"/>
      <c r="J37" s="4" t="n"/>
      <c r="K37" s="4" t="inlineStr"/>
    </row>
    <row r="38">
      <c r="A38" s="4" t="inlineStr">
        <is>
          <t>A0A5N6IP24</t>
        </is>
      </c>
      <c r="B38" s="4" t="inlineStr">
        <is>
          <t>Aspergillus minisclerotigenes</t>
        </is>
      </c>
      <c r="C38" s="4" t="inlineStr">
        <is>
          <t>Thiolase-like protein</t>
        </is>
      </c>
      <c r="D38" s="4" t="inlineStr">
        <is>
          <t>True</t>
        </is>
      </c>
      <c r="E38" s="4" t="inlineStr">
        <is>
          <t>CTCCFFFNIHNSP</t>
        </is>
      </c>
      <c r="F38" s="4" t="n">
        <v>7</v>
      </c>
      <c r="G38" s="4" t="inlineStr"/>
      <c r="H38" s="4" t="n"/>
      <c r="I38" s="4" t="n"/>
      <c r="J38" s="4" t="n"/>
      <c r="K38" s="4" t="inlineStr"/>
    </row>
    <row r="39">
      <c r="A39" s="4" t="inlineStr">
        <is>
          <t>A0A5N6T220</t>
        </is>
      </c>
      <c r="B39" s="4" t="inlineStr">
        <is>
          <t>Aspergillus pseudotamarii</t>
        </is>
      </c>
      <c r="C39" s="4" t="inlineStr">
        <is>
          <t>Thiolase-like protein</t>
        </is>
      </c>
      <c r="D39" s="4" t="inlineStr">
        <is>
          <t>True</t>
        </is>
      </c>
      <c r="E39" s="4" t="inlineStr">
        <is>
          <t>CTCCFFFNIHNSP</t>
        </is>
      </c>
      <c r="F39" s="4" t="n">
        <v>7</v>
      </c>
      <c r="G39" s="4" t="inlineStr"/>
      <c r="H39" s="4" t="n"/>
      <c r="I39" s="4" t="n"/>
      <c r="J39" s="4" t="n"/>
      <c r="K39" s="4" t="inlineStr"/>
    </row>
    <row r="40">
      <c r="A40" s="4" t="inlineStr">
        <is>
          <t>A0A5N6USH5</t>
        </is>
      </c>
      <c r="B40" s="4" t="inlineStr">
        <is>
          <t>Aspergillus tamarii</t>
        </is>
      </c>
      <c r="C40" s="4" t="inlineStr">
        <is>
          <t>Thiolase-like protein</t>
        </is>
      </c>
      <c r="D40" s="4" t="inlineStr">
        <is>
          <t>True</t>
        </is>
      </c>
      <c r="E40" s="4" t="inlineStr">
        <is>
          <t>CTCCFFFNIHNSP</t>
        </is>
      </c>
      <c r="F40" s="4" t="n">
        <v>7</v>
      </c>
      <c r="G40" s="4" t="inlineStr"/>
      <c r="H40" s="4" t="n"/>
      <c r="I40" s="4" t="n"/>
      <c r="J40" s="4" t="n"/>
      <c r="K40" s="4" t="inlineStr"/>
    </row>
    <row r="41">
      <c r="A41" s="4" t="inlineStr">
        <is>
          <t>A0A5N6ZX19</t>
        </is>
      </c>
      <c r="B41" s="4" t="inlineStr">
        <is>
          <t>Aspergillus caelatus</t>
        </is>
      </c>
      <c r="C41" s="4" t="inlineStr">
        <is>
          <t>Thiolase-like protein</t>
        </is>
      </c>
      <c r="D41" s="4" t="inlineStr">
        <is>
          <t>True</t>
        </is>
      </c>
      <c r="E41" s="4" t="inlineStr">
        <is>
          <t>CTCCFFFNIHNSP</t>
        </is>
      </c>
      <c r="F41" s="4" t="n">
        <v>7</v>
      </c>
      <c r="G41" s="4" t="inlineStr"/>
      <c r="H41" s="4" t="n"/>
      <c r="I41" s="4" t="n"/>
      <c r="J41" s="4" t="n"/>
      <c r="K41" s="4" t="inlineStr"/>
    </row>
    <row r="42">
      <c r="A42" s="4" t="inlineStr">
        <is>
          <t>A0A5N7B7K2</t>
        </is>
      </c>
      <c r="B42" s="4" t="inlineStr">
        <is>
          <t>Aspergillus bertholletiae</t>
        </is>
      </c>
      <c r="C42" s="4" t="inlineStr">
        <is>
          <t>Thiolase-like protein</t>
        </is>
      </c>
      <c r="D42" s="4" t="inlineStr">
        <is>
          <t>True</t>
        </is>
      </c>
      <c r="E42" s="4" t="inlineStr">
        <is>
          <t>CTCCFFFNIHNSP</t>
        </is>
      </c>
      <c r="F42" s="4" t="n">
        <v>7</v>
      </c>
      <c r="G42" s="4" t="inlineStr"/>
      <c r="H42" s="4" t="n"/>
      <c r="I42" s="4" t="n"/>
      <c r="J42" s="4" t="n"/>
      <c r="K42" s="4" t="inlineStr"/>
    </row>
    <row r="43">
      <c r="A43" s="4" t="inlineStr">
        <is>
          <t>A0A6A5S0B4</t>
        </is>
      </c>
      <c r="B43" s="4" t="inlineStr">
        <is>
          <t>Didymella exigua CBS 183.55</t>
        </is>
      </c>
      <c r="C43" s="4" t="inlineStr">
        <is>
          <t>Thiolase-like protein</t>
        </is>
      </c>
      <c r="D43" s="4" t="inlineStr">
        <is>
          <t>True</t>
        </is>
      </c>
      <c r="E43" s="4" t="inlineStr">
        <is>
          <t>CTCCFFYSIHNSP</t>
        </is>
      </c>
      <c r="F43" s="4" t="n">
        <v>7</v>
      </c>
      <c r="G43" s="4" t="inlineStr"/>
      <c r="H43" s="4" t="n"/>
      <c r="I43" s="4" t="n"/>
      <c r="J43" s="4" t="n"/>
      <c r="K43" s="4" t="inlineStr"/>
    </row>
    <row r="44">
      <c r="A44" s="4" t="inlineStr">
        <is>
          <t>A0A6A6IBC2</t>
        </is>
      </c>
      <c r="B44" s="4" t="inlineStr">
        <is>
          <t>Trematosphaeria pertusa</t>
        </is>
      </c>
      <c r="C44" s="4" t="inlineStr">
        <is>
          <t>Thiolase-like protein</t>
        </is>
      </c>
      <c r="D44" s="4" t="inlineStr">
        <is>
          <t>True</t>
        </is>
      </c>
      <c r="E44" s="4" t="inlineStr">
        <is>
          <t>CTCCFFYLIHNSP</t>
        </is>
      </c>
      <c r="F44" s="4" t="n">
        <v>7</v>
      </c>
      <c r="G44" s="4" t="inlineStr"/>
      <c r="H44" s="4" t="n"/>
      <c r="I44" s="4" t="n"/>
      <c r="J44" s="4" t="n"/>
      <c r="K44" s="4" t="inlineStr"/>
    </row>
    <row r="45">
      <c r="A45" s="4" t="inlineStr">
        <is>
          <t>A0A6A7B7G1</t>
        </is>
      </c>
      <c r="B45" s="4" t="inlineStr">
        <is>
          <t>Plenodomus tracheiphilus IPT5</t>
        </is>
      </c>
      <c r="C45" s="4" t="inlineStr">
        <is>
          <t>Thiolase-like protein</t>
        </is>
      </c>
      <c r="D45" s="4" t="inlineStr">
        <is>
          <t>True</t>
        </is>
      </c>
      <c r="E45" s="4" t="inlineStr">
        <is>
          <t>CTCCSFYAIHNSP</t>
        </is>
      </c>
      <c r="F45" s="4" t="n">
        <v>7</v>
      </c>
      <c r="G45" s="4" t="inlineStr"/>
      <c r="H45" s="4" t="n"/>
      <c r="I45" s="4" t="n"/>
      <c r="J45" s="4" t="n"/>
      <c r="K45" s="4" t="inlineStr"/>
    </row>
    <row r="46">
      <c r="A46" s="4" t="inlineStr">
        <is>
          <t>A0A7U2FK72</t>
        </is>
      </c>
      <c r="B46" s="4" t="inlineStr">
        <is>
          <t>Phaeosphaeria nodorum (strain SN15 / ATCC MYA-4574 / FGSC 10173)</t>
        </is>
      </c>
      <c r="C46" s="4" t="inlineStr">
        <is>
          <t>Uncharacterized protein</t>
        </is>
      </c>
      <c r="D46" s="4" t="inlineStr">
        <is>
          <t>True</t>
        </is>
      </c>
      <c r="E46" s="4" t="inlineStr">
        <is>
          <t>CTCCFFYDIHNSP</t>
        </is>
      </c>
      <c r="F46" s="4" t="n">
        <v>7</v>
      </c>
      <c r="G46" s="4" t="inlineStr"/>
      <c r="H46" s="4" t="n"/>
      <c r="I46" s="4" t="n"/>
      <c r="J46" s="4" t="n"/>
      <c r="K46" s="4" t="inlineStr"/>
    </row>
    <row r="47">
      <c r="A47" s="4" t="inlineStr">
        <is>
          <t>A0A8H4QCM8</t>
        </is>
      </c>
      <c r="B47" s="4" t="inlineStr">
        <is>
          <t>Ophiocordyceps camponoti-floridani</t>
        </is>
      </c>
      <c r="C47" s="4" t="inlineStr">
        <is>
          <t>Chalcone and stilbene synthase</t>
        </is>
      </c>
      <c r="D47" s="4" t="inlineStr">
        <is>
          <t>True</t>
        </is>
      </c>
      <c r="E47" s="4" t="inlineStr">
        <is>
          <t>CTCTLFFDLHNSP</t>
        </is>
      </c>
      <c r="F47" s="4" t="n">
        <v>7</v>
      </c>
      <c r="G47" s="4" t="inlineStr"/>
      <c r="H47" s="4" t="n"/>
      <c r="I47" s="4" t="n"/>
      <c r="J47" s="4" t="n"/>
      <c r="K47" s="4" t="inlineStr"/>
    </row>
    <row r="48">
      <c r="A48" s="4" t="inlineStr">
        <is>
          <t>A0A8H7A8E3</t>
        </is>
      </c>
      <c r="B48" s="4" t="inlineStr">
        <is>
          <t>Endocarpon pusillum</t>
        </is>
      </c>
      <c r="C48" s="4" t="inlineStr">
        <is>
          <t>Chalcone synthase</t>
        </is>
      </c>
      <c r="D48" s="4" t="inlineStr">
        <is>
          <t>True</t>
        </is>
      </c>
      <c r="E48" s="4" t="inlineStr">
        <is>
          <t>CTCTLFFDLHNSP</t>
        </is>
      </c>
      <c r="F48" s="4" t="n">
        <v>7</v>
      </c>
      <c r="G48" s="4" t="inlineStr"/>
      <c r="H48" s="4" t="n"/>
      <c r="I48" s="4" t="n"/>
      <c r="J48" s="4" t="n"/>
      <c r="K48" s="4" t="inlineStr"/>
    </row>
    <row r="49">
      <c r="A49" s="4" t="inlineStr">
        <is>
          <t>A0A8H7D0J3</t>
        </is>
      </c>
      <c r="B49" s="4" t="inlineStr">
        <is>
          <t>Mycena sanguinolenta</t>
        </is>
      </c>
      <c r="C49" s="4" t="inlineStr">
        <is>
          <t>Chalcone synthase</t>
        </is>
      </c>
      <c r="D49" s="4" t="inlineStr">
        <is>
          <t>True</t>
        </is>
      </c>
      <c r="E49" s="4" t="inlineStr">
        <is>
          <t>CTCTMFIDLHNSP</t>
        </is>
      </c>
      <c r="F49" s="4" t="n">
        <v>7</v>
      </c>
      <c r="G49" s="4" t="inlineStr"/>
      <c r="H49" s="4" t="n"/>
      <c r="I49" s="4" t="n"/>
      <c r="J49" s="4" t="n"/>
      <c r="K49" s="4" t="inlineStr"/>
    </row>
    <row r="50">
      <c r="A50" s="4" t="inlineStr">
        <is>
          <t>A0A8H7D3J6</t>
        </is>
      </c>
      <c r="B50" s="4" t="inlineStr">
        <is>
          <t>Mycena sanguinolenta</t>
        </is>
      </c>
      <c r="C50" s="4" t="inlineStr">
        <is>
          <t>Chalcone synthase</t>
        </is>
      </c>
      <c r="D50" s="4" t="inlineStr">
        <is>
          <t>True</t>
        </is>
      </c>
      <c r="E50" s="4" t="inlineStr">
        <is>
          <t>CTCTMFVDLHNSP</t>
        </is>
      </c>
      <c r="F50" s="4" t="n">
        <v>7</v>
      </c>
      <c r="G50" s="4" t="inlineStr"/>
      <c r="H50" s="4" t="n"/>
      <c r="I50" s="4" t="n"/>
      <c r="J50" s="4" t="n"/>
      <c r="K50" s="4" t="inlineStr"/>
    </row>
    <row r="51">
      <c r="A51" s="4" t="inlineStr">
        <is>
          <t>A0A8H7DBF6</t>
        </is>
      </c>
      <c r="B51" s="4" t="inlineStr">
        <is>
          <t>Mycena venus</t>
        </is>
      </c>
      <c r="C51" s="4" t="inlineStr">
        <is>
          <t>Chalcone synthase</t>
        </is>
      </c>
      <c r="D51" s="4" t="inlineStr">
        <is>
          <t>True</t>
        </is>
      </c>
      <c r="E51" s="4" t="inlineStr">
        <is>
          <t>CTCTMFIDLHNSP</t>
        </is>
      </c>
      <c r="F51" s="4" t="n">
        <v>7</v>
      </c>
      <c r="G51" s="4" t="inlineStr"/>
      <c r="H51" s="4" t="n"/>
      <c r="I51" s="4" t="n"/>
      <c r="J51" s="4" t="n"/>
      <c r="K51" s="4" t="inlineStr"/>
    </row>
    <row r="52">
      <c r="A52" s="4" t="inlineStr">
        <is>
          <t>A0A8H7JCU5</t>
        </is>
      </c>
      <c r="B52" s="4" t="inlineStr">
        <is>
          <t>Ascochyta lentis</t>
        </is>
      </c>
      <c r="C52" s="4" t="inlineStr">
        <is>
          <t>Thiolase-like protein</t>
        </is>
      </c>
      <c r="D52" s="4" t="inlineStr">
        <is>
          <t>True</t>
        </is>
      </c>
      <c r="E52" s="4" t="inlineStr">
        <is>
          <t>CTCCFFYVIHNSP</t>
        </is>
      </c>
      <c r="F52" s="4" t="n">
        <v>7</v>
      </c>
      <c r="G52" s="4" t="inlineStr"/>
      <c r="H52" s="4" t="n"/>
      <c r="I52" s="4" t="n"/>
      <c r="J52" s="4" t="n"/>
      <c r="K52" s="4" t="inlineStr"/>
    </row>
    <row r="53">
      <c r="A53" s="4" t="inlineStr">
        <is>
          <t>A0A8K0L4T3</t>
        </is>
      </c>
      <c r="B53" s="4" t="inlineStr">
        <is>
          <t>Elsinoe batatas</t>
        </is>
      </c>
      <c r="C53" s="4" t="inlineStr">
        <is>
          <t>Chalcone synthase</t>
        </is>
      </c>
      <c r="D53" s="4" t="inlineStr">
        <is>
          <t>True</t>
        </is>
      </c>
      <c r="E53" s="4" t="inlineStr">
        <is>
          <t>CTCCGFLVIHNSP</t>
        </is>
      </c>
      <c r="F53" s="4" t="n">
        <v>7</v>
      </c>
      <c r="G53" s="4" t="inlineStr"/>
      <c r="H53" s="4" t="n"/>
      <c r="I53" s="4" t="n"/>
      <c r="J53" s="4" t="n"/>
      <c r="K53" s="4" t="inlineStr"/>
    </row>
    <row r="54">
      <c r="A54" s="4" t="inlineStr">
        <is>
          <t>A0A9N8JDK6</t>
        </is>
      </c>
      <c r="B54" s="4" t="inlineStr">
        <is>
          <t>Aureobasidium mustum</t>
        </is>
      </c>
      <c r="C54" s="4" t="inlineStr">
        <is>
          <t>Chalcone synthase (Fragment)</t>
        </is>
      </c>
      <c r="D54" s="4" t="inlineStr">
        <is>
          <t>True</t>
        </is>
      </c>
      <c r="E54" s="4" t="inlineStr">
        <is>
          <t>CTCCNFFHLHNSP</t>
        </is>
      </c>
      <c r="F54" s="4" t="n">
        <v>7</v>
      </c>
      <c r="G54" s="4" t="inlineStr"/>
      <c r="H54" s="4" t="n"/>
      <c r="I54" s="4" t="n"/>
      <c r="J54" s="4" t="n"/>
      <c r="K54" s="4" t="inlineStr"/>
    </row>
    <row r="55">
      <c r="A55" s="4" t="inlineStr">
        <is>
          <t>A0A9N8KET3</t>
        </is>
      </c>
      <c r="B55" s="4" t="inlineStr">
        <is>
          <t>Aureobasidium uvarum</t>
        </is>
      </c>
      <c r="C55" s="4" t="inlineStr">
        <is>
          <t>Chalcone synthase</t>
        </is>
      </c>
      <c r="D55" s="4" t="inlineStr">
        <is>
          <t>True</t>
        </is>
      </c>
      <c r="E55" s="4" t="inlineStr">
        <is>
          <t>CTCTGFSYLHNSP</t>
        </is>
      </c>
      <c r="F55" s="4" t="n">
        <v>7</v>
      </c>
      <c r="G55" s="4" t="inlineStr"/>
      <c r="H55" s="4" t="n"/>
      <c r="I55" s="4" t="n"/>
      <c r="J55" s="4" t="n"/>
      <c r="K55" s="4" t="inlineStr"/>
    </row>
    <row r="56">
      <c r="A56" s="4" t="inlineStr">
        <is>
          <t>A0A9P4WW23</t>
        </is>
      </c>
      <c r="B56" s="4" t="inlineStr">
        <is>
          <t>Didymella heteroderae</t>
        </is>
      </c>
      <c r="C56" s="4" t="inlineStr">
        <is>
          <t>T3pks</t>
        </is>
      </c>
      <c r="D56" s="4" t="inlineStr">
        <is>
          <t>True</t>
        </is>
      </c>
      <c r="E56" s="4" t="inlineStr">
        <is>
          <t>CTCCFFYSIHNSP</t>
        </is>
      </c>
      <c r="F56" s="4" t="n">
        <v>7</v>
      </c>
      <c r="G56" s="4" t="inlineStr"/>
      <c r="H56" s="4" t="n"/>
      <c r="I56" s="4" t="n"/>
      <c r="J56" s="4" t="n"/>
      <c r="K56" s="4" t="inlineStr"/>
    </row>
    <row r="57">
      <c r="A57" s="4" t="inlineStr">
        <is>
          <t>A0A9P6G8R7</t>
        </is>
      </c>
      <c r="B57" s="4" t="inlineStr">
        <is>
          <t>Paraphaeosphaeria minitans</t>
        </is>
      </c>
      <c r="C57" s="4" t="inlineStr">
        <is>
          <t>Chalcone synthase</t>
        </is>
      </c>
      <c r="D57" s="4" t="inlineStr">
        <is>
          <t>True</t>
        </is>
      </c>
      <c r="E57" s="4" t="inlineStr">
        <is>
          <t>CTCCFFYNIHNSP</t>
        </is>
      </c>
      <c r="F57" s="4" t="n">
        <v>7</v>
      </c>
      <c r="G57" s="4" t="inlineStr"/>
      <c r="H57" s="4" t="n"/>
      <c r="I57" s="4" t="n"/>
      <c r="J57" s="4" t="n"/>
      <c r="K57" s="4" t="inlineStr"/>
    </row>
    <row r="58">
      <c r="A58" s="4" t="inlineStr">
        <is>
          <t>A0A9W8QV17</t>
        </is>
      </c>
      <c r="B58" s="4" t="inlineStr">
        <is>
          <t>Fusarium falciforme</t>
        </is>
      </c>
      <c r="C58" s="4" t="inlineStr">
        <is>
          <t>Uncharacterized protein</t>
        </is>
      </c>
      <c r="D58" s="4" t="inlineStr">
        <is>
          <t>True</t>
        </is>
      </c>
      <c r="E58" s="4" t="inlineStr">
        <is>
          <t>TTCCNFWDLHNSP</t>
        </is>
      </c>
      <c r="F58" s="4" t="n">
        <v>7</v>
      </c>
      <c r="G58" s="4" t="inlineStr"/>
      <c r="H58" s="4" t="n"/>
      <c r="I58" s="4" t="n"/>
      <c r="J58" s="4" t="n"/>
      <c r="K58" s="4" t="inlineStr"/>
    </row>
    <row r="59">
      <c r="A59" s="4" t="inlineStr">
        <is>
          <t>A0A9W9D9I5</t>
        </is>
      </c>
      <c r="B59" s="4" t="inlineStr">
        <is>
          <t>Didymella pomorum</t>
        </is>
      </c>
      <c r="C59" s="4" t="inlineStr">
        <is>
          <t>Thiolase-like protein</t>
        </is>
      </c>
      <c r="D59" s="4" t="inlineStr">
        <is>
          <t>True</t>
        </is>
      </c>
      <c r="E59" s="4" t="inlineStr">
        <is>
          <t>CTCCFFYSIHNSP</t>
        </is>
      </c>
      <c r="F59" s="4" t="n">
        <v>7</v>
      </c>
      <c r="G59" s="4" t="inlineStr"/>
      <c r="H59" s="4" t="n"/>
      <c r="I59" s="4" t="n"/>
      <c r="J59" s="4" t="n"/>
      <c r="K59" s="4" t="inlineStr"/>
    </row>
    <row r="60">
      <c r="A60" s="4" t="inlineStr">
        <is>
          <t>A0A9W9PRC7</t>
        </is>
      </c>
      <c r="B60" s="4" t="inlineStr">
        <is>
          <t>Penicillium atrosanguineum</t>
        </is>
      </c>
      <c r="C60" s="4" t="inlineStr">
        <is>
          <t>Uncharacterized protein</t>
        </is>
      </c>
      <c r="D60" s="4" t="inlineStr">
        <is>
          <t>True</t>
        </is>
      </c>
      <c r="E60" s="4" t="inlineStr">
        <is>
          <t>CTCCNFFYIHNSP</t>
        </is>
      </c>
      <c r="F60" s="4" t="n">
        <v>7</v>
      </c>
      <c r="G60" s="4" t="inlineStr"/>
      <c r="H60" s="4" t="n"/>
      <c r="I60" s="4" t="n"/>
      <c r="J60" s="4" t="n"/>
      <c r="K60" s="4" t="inlineStr"/>
    </row>
    <row r="61">
      <c r="A61" s="4" t="inlineStr">
        <is>
          <t>A0A9W9V119</t>
        </is>
      </c>
      <c r="B61" s="4" t="inlineStr">
        <is>
          <t>Penicillium cataractarum</t>
        </is>
      </c>
      <c r="C61" s="4" t="inlineStr">
        <is>
          <t>Thiolase-like protein</t>
        </is>
      </c>
      <c r="D61" s="4" t="inlineStr">
        <is>
          <t>True</t>
        </is>
      </c>
      <c r="E61" s="4" t="inlineStr">
        <is>
          <t>CTCVFFFNIHNSP</t>
        </is>
      </c>
      <c r="F61" s="4" t="n">
        <v>7</v>
      </c>
      <c r="G61" s="4" t="inlineStr"/>
      <c r="H61" s="4" t="n"/>
      <c r="I61" s="4" t="n"/>
      <c r="J61" s="4" t="n"/>
      <c r="K61" s="4" t="inlineStr"/>
    </row>
    <row r="62">
      <c r="A62" s="4" t="inlineStr">
        <is>
          <t>A0AAD2HHH8</t>
        </is>
      </c>
      <c r="B62" s="4" t="inlineStr">
        <is>
          <t>Mycena citricolor</t>
        </is>
      </c>
      <c r="C62" s="4" t="inlineStr">
        <is>
          <t>Chalcone synthase</t>
        </is>
      </c>
      <c r="D62" s="4" t="inlineStr">
        <is>
          <t>True</t>
        </is>
      </c>
      <c r="E62" s="4" t="inlineStr">
        <is>
          <t>CTCTMFFDLHNSP</t>
        </is>
      </c>
      <c r="F62" s="4" t="n">
        <v>7</v>
      </c>
      <c r="G62" s="4" t="inlineStr"/>
      <c r="H62" s="4" t="n"/>
      <c r="I62" s="4" t="n"/>
      <c r="J62" s="4" t="n"/>
      <c r="K62" s="4" t="inlineStr"/>
    </row>
    <row r="63">
      <c r="A63" s="4" t="inlineStr">
        <is>
          <t>A0AAD2K853</t>
        </is>
      </c>
      <c r="B63" s="4" t="inlineStr">
        <is>
          <t>Mycena citricolor</t>
        </is>
      </c>
      <c r="C63" s="4" t="inlineStr">
        <is>
          <t>Chalcone synthase</t>
        </is>
      </c>
      <c r="D63" s="4" t="inlineStr">
        <is>
          <t>True</t>
        </is>
      </c>
      <c r="E63" s="4" t="inlineStr">
        <is>
          <t>CTCTMFIDLHNSP</t>
        </is>
      </c>
      <c r="F63" s="4" t="n">
        <v>7</v>
      </c>
      <c r="G63" s="4" t="inlineStr"/>
      <c r="H63" s="4" t="n"/>
      <c r="I63" s="4" t="n"/>
      <c r="J63" s="4" t="n"/>
      <c r="K63" s="4" t="inlineStr"/>
    </row>
    <row r="64">
      <c r="A64" s="4" t="inlineStr">
        <is>
          <t>A0AAD4FEN3</t>
        </is>
      </c>
      <c r="B64" s="4" t="inlineStr">
        <is>
          <t>Alternaria panax</t>
        </is>
      </c>
      <c r="C64" s="4" t="inlineStr">
        <is>
          <t>Uncharacterized protein</t>
        </is>
      </c>
      <c r="D64" s="4" t="inlineStr">
        <is>
          <t>True</t>
        </is>
      </c>
      <c r="E64" s="4" t="inlineStr">
        <is>
          <t>CTCCFFYDIHNSP</t>
        </is>
      </c>
      <c r="F64" s="4" t="n">
        <v>7</v>
      </c>
      <c r="G64" s="4" t="inlineStr"/>
      <c r="H64" s="4" t="n"/>
      <c r="I64" s="4" t="n"/>
      <c r="J64" s="4" t="n"/>
      <c r="K64" s="4" t="inlineStr"/>
    </row>
    <row r="65">
      <c r="A65" s="4" t="inlineStr">
        <is>
          <t>A0AAD6CA57</t>
        </is>
      </c>
      <c r="B65" s="4" t="inlineStr">
        <is>
          <t>Penicillium daleae</t>
        </is>
      </c>
      <c r="C65" s="4" t="inlineStr">
        <is>
          <t>Chalcone synthase</t>
        </is>
      </c>
      <c r="D65" s="4" t="inlineStr">
        <is>
          <t>True</t>
        </is>
      </c>
      <c r="E65" s="4" t="inlineStr">
        <is>
          <t>CTCPFFYNIHNSP</t>
        </is>
      </c>
      <c r="F65" s="4" t="n">
        <v>7</v>
      </c>
      <c r="G65" s="4" t="inlineStr"/>
      <c r="H65" s="4" t="n"/>
      <c r="I65" s="4" t="n"/>
      <c r="J65" s="4" t="n"/>
      <c r="K65" s="4" t="inlineStr"/>
    </row>
    <row r="66">
      <c r="A66" s="4" t="inlineStr">
        <is>
          <t>A0AAD6HIV3</t>
        </is>
      </c>
      <c r="B66" s="4" t="inlineStr">
        <is>
          <t>Penicillium malachiteum</t>
        </is>
      </c>
      <c r="C66" s="4" t="inlineStr">
        <is>
          <t>Chalcone synthase B</t>
        </is>
      </c>
      <c r="D66" s="4" t="inlineStr">
        <is>
          <t>True</t>
        </is>
      </c>
      <c r="E66" s="4" t="inlineStr">
        <is>
          <t>TTCCYFYRIHNIP</t>
        </is>
      </c>
      <c r="F66" s="4" t="n">
        <v>7</v>
      </c>
      <c r="G66" s="4" t="inlineStr"/>
      <c r="H66" s="4" t="n"/>
      <c r="I66" s="4" t="n"/>
      <c r="J66" s="4" t="n"/>
      <c r="K66" s="4" t="inlineStr"/>
    </row>
    <row r="67">
      <c r="A67" s="4" t="inlineStr">
        <is>
          <t>A0AAD6TW98</t>
        </is>
      </c>
      <c r="B67" s="4" t="inlineStr">
        <is>
          <t>Mycena belliarum</t>
        </is>
      </c>
      <c r="C67" s="4" t="inlineStr">
        <is>
          <t>Thiolase-like protein</t>
        </is>
      </c>
      <c r="D67" s="4" t="inlineStr">
        <is>
          <t>True</t>
        </is>
      </c>
      <c r="E67" s="4" t="inlineStr">
        <is>
          <t>CTCTTFFSLHNSP</t>
        </is>
      </c>
      <c r="F67" s="4" t="n">
        <v>7</v>
      </c>
      <c r="G67" s="4" t="inlineStr"/>
      <c r="H67" s="4" t="n"/>
      <c r="I67" s="4" t="n"/>
      <c r="J67" s="4" t="n"/>
      <c r="K67" s="4" t="inlineStr"/>
    </row>
    <row r="68">
      <c r="A68" s="4" t="inlineStr">
        <is>
          <t>A0AAD6VAS7</t>
        </is>
      </c>
      <c r="B68" s="4" t="inlineStr">
        <is>
          <t>Mycena pura</t>
        </is>
      </c>
      <c r="C68" s="4" t="inlineStr">
        <is>
          <t>Type Iii polyketide Synthase</t>
        </is>
      </c>
      <c r="D68" s="4" t="inlineStr">
        <is>
          <t>True</t>
        </is>
      </c>
      <c r="E68" s="4" t="inlineStr">
        <is>
          <t>CTCTMFIDFHNSP</t>
        </is>
      </c>
      <c r="F68" s="4" t="n">
        <v>7</v>
      </c>
      <c r="G68" s="4" t="inlineStr"/>
      <c r="H68" s="4" t="n"/>
      <c r="I68" s="4" t="n"/>
      <c r="J68" s="4" t="n"/>
      <c r="K68" s="4" t="inlineStr"/>
    </row>
    <row r="69">
      <c r="A69" s="4" t="inlineStr">
        <is>
          <t>A0AAD6XS82</t>
        </is>
      </c>
      <c r="B69" s="4" t="inlineStr">
        <is>
          <t>Mycena belliarum</t>
        </is>
      </c>
      <c r="C69" s="4" t="inlineStr">
        <is>
          <t>Type Iii polyketide Synthase</t>
        </is>
      </c>
      <c r="D69" s="4" t="inlineStr">
        <is>
          <t>True</t>
        </is>
      </c>
      <c r="E69" s="4" t="inlineStr">
        <is>
          <t>CTCTMFISLHNSP</t>
        </is>
      </c>
      <c r="F69" s="4" t="n">
        <v>7</v>
      </c>
      <c r="G69" s="4" t="inlineStr"/>
      <c r="H69" s="4" t="n"/>
      <c r="I69" s="4" t="n"/>
      <c r="J69" s="4" t="n"/>
      <c r="K69" s="4" t="inlineStr"/>
    </row>
    <row r="70">
      <c r="A70" s="4" t="inlineStr">
        <is>
          <t>A0AAD6YJJ8</t>
        </is>
      </c>
      <c r="B70" s="4" t="inlineStr">
        <is>
          <t>Mycena pura</t>
        </is>
      </c>
      <c r="C70" s="4" t="inlineStr">
        <is>
          <t>Type Iii polyketide Synthase</t>
        </is>
      </c>
      <c r="D70" s="4" t="inlineStr">
        <is>
          <t>True</t>
        </is>
      </c>
      <c r="E70" s="4" t="inlineStr">
        <is>
          <t>CTCNFFFDIHNSP</t>
        </is>
      </c>
      <c r="F70" s="4" t="n">
        <v>7</v>
      </c>
      <c r="G70" s="4" t="inlineStr"/>
      <c r="H70" s="4" t="n"/>
      <c r="I70" s="4" t="n"/>
      <c r="J70" s="4" t="n"/>
      <c r="K70" s="4" t="inlineStr"/>
    </row>
    <row r="71">
      <c r="A71" s="4" t="inlineStr">
        <is>
          <t>A0AAD7AQX4</t>
        </is>
      </c>
      <c r="B71" s="4" t="inlineStr">
        <is>
          <t>Mycena albidolilacea</t>
        </is>
      </c>
      <c r="C71" s="4" t="inlineStr">
        <is>
          <t>Type Iii polyketide Synthase</t>
        </is>
      </c>
      <c r="D71" s="4" t="inlineStr">
        <is>
          <t>True</t>
        </is>
      </c>
      <c r="E71" s="4" t="inlineStr">
        <is>
          <t>CTCTMFIDLHNSP</t>
        </is>
      </c>
      <c r="F71" s="4" t="n">
        <v>7</v>
      </c>
      <c r="G71" s="4" t="inlineStr"/>
      <c r="H71" s="4" t="n"/>
      <c r="I71" s="4" t="n"/>
      <c r="J71" s="4" t="n"/>
      <c r="K71" s="4" t="inlineStr"/>
    </row>
    <row r="72">
      <c r="A72" s="4" t="inlineStr">
        <is>
          <t>A0AAD7E1R3</t>
        </is>
      </c>
      <c r="B72" s="4" t="inlineStr">
        <is>
          <t>Mycena pura</t>
        </is>
      </c>
      <c r="C72" s="4" t="inlineStr">
        <is>
          <t>Type Iii polyketide Synthase</t>
        </is>
      </c>
      <c r="D72" s="4" t="inlineStr">
        <is>
          <t>True</t>
        </is>
      </c>
      <c r="E72" s="4" t="inlineStr">
        <is>
          <t>CTCNFFLDIHNSP</t>
        </is>
      </c>
      <c r="F72" s="4" t="n">
        <v>7</v>
      </c>
      <c r="G72" s="4" t="inlineStr"/>
      <c r="H72" s="4" t="n"/>
      <c r="I72" s="4" t="n"/>
      <c r="J72" s="4" t="n"/>
      <c r="K72" s="4" t="inlineStr"/>
    </row>
    <row r="73">
      <c r="A73" s="4" t="inlineStr">
        <is>
          <t>A0AAD7GCC2</t>
        </is>
      </c>
      <c r="B73" s="4" t="inlineStr">
        <is>
          <t>Mycena rosella</t>
        </is>
      </c>
      <c r="C73" s="4" t="inlineStr">
        <is>
          <t>Polyketide synthase</t>
        </is>
      </c>
      <c r="D73" s="4" t="inlineStr">
        <is>
          <t>True</t>
        </is>
      </c>
      <c r="E73" s="4" t="inlineStr">
        <is>
          <t>CTCTMFIDLHNSP</t>
        </is>
      </c>
      <c r="F73" s="4" t="n">
        <v>7</v>
      </c>
      <c r="G73" s="4" t="inlineStr"/>
      <c r="H73" s="4" t="n"/>
      <c r="I73" s="4" t="n"/>
      <c r="J73" s="4" t="n"/>
      <c r="K73" s="4" t="inlineStr"/>
    </row>
    <row r="74">
      <c r="A74" s="4" t="inlineStr">
        <is>
          <t>A0AAD7MQF2</t>
        </is>
      </c>
      <c r="B74" s="4" t="inlineStr">
        <is>
          <t>Mycena metata</t>
        </is>
      </c>
      <c r="C74" s="4" t="inlineStr">
        <is>
          <t>Type Iii polyketide Synthase</t>
        </is>
      </c>
      <c r="D74" s="4" t="inlineStr">
        <is>
          <t>True</t>
        </is>
      </c>
      <c r="E74" s="4" t="inlineStr">
        <is>
          <t>CTCTMFIDLHNSP</t>
        </is>
      </c>
      <c r="F74" s="4" t="n">
        <v>7</v>
      </c>
      <c r="G74" s="4" t="inlineStr"/>
      <c r="H74" s="4" t="n"/>
      <c r="I74" s="4" t="n"/>
      <c r="J74" s="4" t="n"/>
      <c r="K74" s="4" t="inlineStr"/>
    </row>
    <row r="75">
      <c r="A75" s="4" t="inlineStr">
        <is>
          <t>A0AAN6XUC3</t>
        </is>
      </c>
      <c r="B75" s="4" t="inlineStr">
        <is>
          <t>Rhypophila decipiens</t>
        </is>
      </c>
      <c r="C75" s="4" t="inlineStr">
        <is>
          <t>Thiolase-like protein</t>
        </is>
      </c>
      <c r="D75" s="4" t="inlineStr">
        <is>
          <t>True</t>
        </is>
      </c>
      <c r="E75" s="4" t="inlineStr">
        <is>
          <t>TTCANFWALHNSP</t>
        </is>
      </c>
      <c r="F75" s="4" t="n">
        <v>7</v>
      </c>
      <c r="G75" s="4" t="inlineStr"/>
      <c r="H75" s="4" t="n"/>
      <c r="I75" s="4" t="n"/>
      <c r="J75" s="4" t="n"/>
      <c r="K75" s="4" t="inlineStr"/>
    </row>
    <row r="76">
      <c r="A76" s="4" t="inlineStr">
        <is>
          <t>A0AAN9YDM9</t>
        </is>
      </c>
      <c r="B76" s="4" t="inlineStr">
        <is>
          <t>Cytospora paraplurivora</t>
        </is>
      </c>
      <c r="C76" s="4" t="inlineStr">
        <is>
          <t>Uncharacterized protein</t>
        </is>
      </c>
      <c r="D76" s="4" t="inlineStr">
        <is>
          <t>True</t>
        </is>
      </c>
      <c r="E76" s="4" t="inlineStr">
        <is>
          <t>TTCCNFWDLHNSP</t>
        </is>
      </c>
      <c r="F76" s="4" t="n">
        <v>7</v>
      </c>
      <c r="G76" s="4" t="inlineStr"/>
      <c r="H76" s="4" t="n"/>
      <c r="I76" s="4" t="n"/>
      <c r="J76" s="4" t="n"/>
      <c r="K76" s="4" t="inlineStr"/>
    </row>
    <row r="77">
      <c r="A77" s="4" t="inlineStr">
        <is>
          <t>A0AAV9N652</t>
        </is>
      </c>
      <c r="B77" s="4" t="inlineStr">
        <is>
          <t>Exophiala bonariae</t>
        </is>
      </c>
      <c r="C77" s="4" t="inlineStr">
        <is>
          <t>Chalcone synthase</t>
        </is>
      </c>
      <c r="D77" s="4" t="inlineStr">
        <is>
          <t>True</t>
        </is>
      </c>
      <c r="E77" s="4" t="inlineStr">
        <is>
          <t>CTCTLFFDLHNSP</t>
        </is>
      </c>
      <c r="F77" s="4" t="n">
        <v>7</v>
      </c>
      <c r="G77" s="4" t="inlineStr"/>
      <c r="H77" s="4" t="n"/>
      <c r="I77" s="4" t="n"/>
      <c r="J77" s="4" t="n"/>
      <c r="K77" s="4" t="inlineStr"/>
    </row>
    <row r="78">
      <c r="A78" s="4" t="inlineStr">
        <is>
          <t>A0ABQ8GJ28</t>
        </is>
      </c>
      <c r="B78" s="4" t="inlineStr">
        <is>
          <t>Macrophomina phaseolina</t>
        </is>
      </c>
      <c r="C78" s="4" t="inlineStr">
        <is>
          <t>Chalcone synthase B</t>
        </is>
      </c>
      <c r="D78" s="4" t="inlineStr">
        <is>
          <t>True</t>
        </is>
      </c>
      <c r="E78" s="4" t="inlineStr">
        <is>
          <t>CTCCHFFWIHNSP</t>
        </is>
      </c>
      <c r="F78" s="4" t="n">
        <v>7</v>
      </c>
      <c r="G78" s="4" t="inlineStr"/>
      <c r="H78" s="4" t="n"/>
      <c r="I78" s="4" t="n"/>
      <c r="J78" s="4" t="n"/>
      <c r="K78" s="4" t="inlineStr"/>
    </row>
    <row r="79">
      <c r="A79" s="4" t="inlineStr">
        <is>
          <t>A0ABR0TNB7</t>
        </is>
      </c>
      <c r="B79" s="4" t="inlineStr">
        <is>
          <t>Aureobasidium pullulans</t>
        </is>
      </c>
      <c r="C79" s="4" t="inlineStr">
        <is>
          <t>Thiolase-like protein</t>
        </is>
      </c>
      <c r="D79" s="4" t="inlineStr">
        <is>
          <t>True</t>
        </is>
      </c>
      <c r="E79" s="4" t="inlineStr">
        <is>
          <t>CTCSNFFHLHNSP</t>
        </is>
      </c>
      <c r="F79" s="4" t="n">
        <v>7</v>
      </c>
      <c r="G79" s="4" t="inlineStr"/>
      <c r="H79" s="4" t="n"/>
      <c r="I79" s="4" t="n"/>
      <c r="J79" s="4" t="n"/>
      <c r="K79" s="4" t="inlineStr"/>
    </row>
    <row r="80">
      <c r="A80" s="4" t="inlineStr">
        <is>
          <t>A0ABR1S0N0</t>
        </is>
      </c>
      <c r="B80" s="4" t="inlineStr">
        <is>
          <t>Apiospora marii</t>
        </is>
      </c>
      <c r="C80" s="4" t="inlineStr">
        <is>
          <t>Uncharacterized protein</t>
        </is>
      </c>
      <c r="D80" s="4" t="inlineStr">
        <is>
          <t>True</t>
        </is>
      </c>
      <c r="E80" s="4" t="inlineStr">
        <is>
          <t>CTCCNFLLIHNSP</t>
        </is>
      </c>
      <c r="F80" s="4" t="n">
        <v>7</v>
      </c>
      <c r="G80" s="4" t="inlineStr"/>
      <c r="H80" s="4" t="n"/>
      <c r="I80" s="4" t="n"/>
      <c r="J80" s="4" t="n"/>
      <c r="K80" s="4" t="inlineStr"/>
    </row>
    <row r="81">
      <c r="A81" s="4" t="inlineStr">
        <is>
          <t>A0ABR1S1I4</t>
        </is>
      </c>
      <c r="B81" s="4" t="inlineStr">
        <is>
          <t>Apiospora rasikravindrae</t>
        </is>
      </c>
      <c r="C81" s="4" t="inlineStr">
        <is>
          <t>Type III polyketide synthase</t>
        </is>
      </c>
      <c r="D81" s="4" t="inlineStr">
        <is>
          <t>True</t>
        </is>
      </c>
      <c r="E81" s="4" t="inlineStr">
        <is>
          <t>CTCCTFFLIHNSP</t>
        </is>
      </c>
      <c r="F81" s="4" t="n">
        <v>7</v>
      </c>
      <c r="G81" s="4" t="inlineStr"/>
      <c r="H81" s="4" t="n"/>
      <c r="I81" s="4" t="n"/>
      <c r="J81" s="4" t="n"/>
      <c r="K81" s="4" t="inlineStr"/>
    </row>
    <row r="82">
      <c r="A82" s="4" t="inlineStr">
        <is>
          <t>A0ABR1VKP4</t>
        </is>
      </c>
      <c r="B82" s="4" t="inlineStr">
        <is>
          <t>Apiospora hydei</t>
        </is>
      </c>
      <c r="C82" s="4" t="inlineStr">
        <is>
          <t>Thiolase-like protein</t>
        </is>
      </c>
      <c r="D82" s="4" t="inlineStr">
        <is>
          <t>True</t>
        </is>
      </c>
      <c r="E82" s="4" t="inlineStr">
        <is>
          <t>CTCCTFFLIHNSP</t>
        </is>
      </c>
      <c r="F82" s="4" t="n">
        <v>7</v>
      </c>
      <c r="G82" s="4" t="inlineStr"/>
      <c r="H82" s="4" t="n"/>
      <c r="I82" s="4" t="n"/>
      <c r="J82" s="4" t="n"/>
      <c r="K82" s="4" t="inlineStr"/>
    </row>
    <row r="83">
      <c r="A83" s="4" t="inlineStr">
        <is>
          <t>A0ABR2JLE3</t>
        </is>
      </c>
      <c r="B83" s="4" t="inlineStr">
        <is>
          <t>Apiospora arundinis</t>
        </is>
      </c>
      <c r="C83" s="4" t="inlineStr">
        <is>
          <t>Thiolase-like protein</t>
        </is>
      </c>
      <c r="D83" s="4" t="inlineStr">
        <is>
          <t>True</t>
        </is>
      </c>
      <c r="E83" s="4" t="inlineStr">
        <is>
          <t>CTCCNFMFIHNSP</t>
        </is>
      </c>
      <c r="F83" s="4" t="n">
        <v>7</v>
      </c>
      <c r="G83" s="4" t="inlineStr"/>
      <c r="H83" s="4" t="n"/>
      <c r="I83" s="4" t="n"/>
      <c r="J83" s="4" t="n"/>
      <c r="K83" s="4" t="inlineStr"/>
    </row>
    <row r="84">
      <c r="A84" s="4" t="inlineStr">
        <is>
          <t>A0ACB6SHW3</t>
        </is>
      </c>
      <c r="B84" s="4" t="inlineStr">
        <is>
          <t>Macroventuria anomochaeta</t>
        </is>
      </c>
      <c r="C84" s="4" t="inlineStr">
        <is>
          <t>Thiolase-like protein</t>
        </is>
      </c>
      <c r="D84" s="4" t="inlineStr">
        <is>
          <t>True</t>
        </is>
      </c>
      <c r="E84" s="4" t="inlineStr">
        <is>
          <t>CTCCFFYSIHNSP</t>
        </is>
      </c>
      <c r="F84" s="4" t="n">
        <v>7</v>
      </c>
      <c r="G84" s="4" t="inlineStr"/>
      <c r="H84" s="4" t="n"/>
      <c r="I84" s="4" t="n"/>
      <c r="J84" s="4" t="n"/>
      <c r="K84" s="4" t="inlineStr"/>
    </row>
    <row r="85">
      <c r="A85" s="4" t="inlineStr">
        <is>
          <t>E3RK22</t>
        </is>
      </c>
      <c r="B85" s="4" t="inlineStr">
        <is>
          <t>Pyrenophora teres f. teres (strain 0-1)</t>
        </is>
      </c>
      <c r="C85" s="4" t="inlineStr">
        <is>
          <t>Uncharacterized protein</t>
        </is>
      </c>
      <c r="D85" s="4" t="inlineStr">
        <is>
          <t>True</t>
        </is>
      </c>
      <c r="E85" s="4" t="inlineStr">
        <is>
          <t>CTCCFFYDIHNSP</t>
        </is>
      </c>
      <c r="F85" s="4" t="n">
        <v>7</v>
      </c>
      <c r="G85" s="4" t="inlineStr"/>
      <c r="H85" s="4" t="n"/>
      <c r="I85" s="4" t="n"/>
      <c r="J85" s="4" t="n"/>
      <c r="K85" s="4" t="inlineStr"/>
    </row>
    <row r="86">
      <c r="A86" s="4" t="inlineStr">
        <is>
          <t>E4ZW99</t>
        </is>
      </c>
      <c r="B86" s="4" t="inlineStr">
        <is>
          <t>Leptosphaeria maculans (strain JN3 / isolate v23.1.3 / race Av1-4-5-6-7-8)</t>
        </is>
      </c>
      <c r="C86" s="4" t="inlineStr">
        <is>
          <t>Similar to chalcone synthase</t>
        </is>
      </c>
      <c r="D86" s="4" t="inlineStr">
        <is>
          <t>True</t>
        </is>
      </c>
      <c r="E86" s="4" t="inlineStr">
        <is>
          <t>CTCCFFYNIHNSP</t>
        </is>
      </c>
      <c r="F86" s="4" t="n">
        <v>7</v>
      </c>
      <c r="G86" s="4" t="inlineStr"/>
      <c r="H86" s="4" t="n"/>
      <c r="I86" s="4" t="n"/>
      <c r="J86" s="4" t="n"/>
      <c r="K86" s="4" t="inlineStr"/>
    </row>
    <row r="87">
      <c r="A87" s="4" t="inlineStr">
        <is>
          <t>F9X176</t>
        </is>
      </c>
      <c r="B87" s="4" t="inlineStr">
        <is>
          <t>Zymoseptoria tritici (strain CBS 115943 / IPO323)</t>
        </is>
      </c>
      <c r="C87" s="4" t="inlineStr">
        <is>
          <t>Chalcone synthase</t>
        </is>
      </c>
      <c r="D87" s="4" t="inlineStr">
        <is>
          <t>True</t>
        </is>
      </c>
      <c r="E87" s="4" t="inlineStr">
        <is>
          <t>CTCSHF--IHNSP</t>
        </is>
      </c>
      <c r="F87" s="4" t="n">
        <v>7</v>
      </c>
      <c r="G87" s="4" t="inlineStr"/>
      <c r="H87" s="4" t="n"/>
      <c r="I87" s="4" t="n"/>
      <c r="J87" s="4" t="n"/>
      <c r="K87" s="4" t="inlineStr"/>
    </row>
    <row r="88">
      <c r="A88" s="4" t="inlineStr">
        <is>
          <t>K5V9D4</t>
        </is>
      </c>
      <c r="B88" s="4" t="inlineStr">
        <is>
          <t>Phanerochaete carnosa (strain HHB-10118-sp)</t>
        </is>
      </c>
      <c r="C88" s="4" t="inlineStr">
        <is>
          <t>Chalcone synthase</t>
        </is>
      </c>
      <c r="D88" s="4" t="inlineStr">
        <is>
          <t>True</t>
        </is>
      </c>
      <c r="E88" s="4" t="inlineStr">
        <is>
          <t>CTCTLFFDLHNSP</t>
        </is>
      </c>
      <c r="F88" s="4" t="n">
        <v>7</v>
      </c>
      <c r="G88" s="4" t="inlineStr"/>
      <c r="H88" s="4" t="n"/>
      <c r="I88" s="4" t="n"/>
      <c r="J88" s="4" t="n"/>
      <c r="K88" s="4" t="inlineStr"/>
    </row>
    <row r="89">
      <c r="A89" s="4" t="inlineStr">
        <is>
          <t>M2SAW8</t>
        </is>
      </c>
      <c r="B89" s="4" t="inlineStr">
        <is>
          <t>Cochliobolus sativus (strain ND90Pr / ATCC 201652)</t>
        </is>
      </c>
      <c r="C89" s="4" t="inlineStr">
        <is>
          <t>Thiolase-like protein</t>
        </is>
      </c>
      <c r="D89" s="4" t="inlineStr">
        <is>
          <t>True</t>
        </is>
      </c>
      <c r="E89" s="4" t="inlineStr">
        <is>
          <t>CTCCFFYNIHNSP</t>
        </is>
      </c>
      <c r="F89" s="4" t="n">
        <v>7</v>
      </c>
      <c r="G89" s="4" t="inlineStr"/>
      <c r="H89" s="4" t="n"/>
      <c r="I89" s="4" t="n"/>
      <c r="J89" s="4" t="n"/>
      <c r="K89" s="4" t="inlineStr"/>
    </row>
    <row r="90">
      <c r="A90" s="4" t="inlineStr">
        <is>
          <t>M2UG08</t>
        </is>
      </c>
      <c r="B90" s="4" t="inlineStr">
        <is>
          <t>Cochliobolus heterostrophus (strain C5 / ATCC 48332 / race O)</t>
        </is>
      </c>
      <c r="C90" s="4" t="inlineStr">
        <is>
          <t>Thiolase-like protein</t>
        </is>
      </c>
      <c r="D90" s="4" t="inlineStr">
        <is>
          <t>True</t>
        </is>
      </c>
      <c r="E90" s="4" t="inlineStr">
        <is>
          <t>CTCCFFYNIHNSP</t>
        </is>
      </c>
      <c r="F90" s="4" t="n">
        <v>7</v>
      </c>
      <c r="G90" s="4" t="inlineStr"/>
      <c r="H90" s="4" t="n"/>
      <c r="I90" s="4" t="n"/>
      <c r="J90" s="4" t="n"/>
      <c r="K90" s="4" t="inlineStr"/>
    </row>
    <row r="91">
      <c r="A91" s="4" t="inlineStr">
        <is>
          <t>W6Y3L6</t>
        </is>
      </c>
      <c r="B91" s="4" t="inlineStr">
        <is>
          <t>Cochliobolus carbonum (strain 26-R-13)</t>
        </is>
      </c>
      <c r="C91" s="4" t="inlineStr">
        <is>
          <t>Chalcone synthase</t>
        </is>
      </c>
      <c r="D91" s="4" t="inlineStr">
        <is>
          <t>True</t>
        </is>
      </c>
      <c r="E91" s="4" t="inlineStr">
        <is>
          <t>CTCCFFYNIHNSP</t>
        </is>
      </c>
      <c r="F91" s="4" t="n">
        <v>7</v>
      </c>
      <c r="G91" s="4" t="inlineStr"/>
      <c r="H91" s="4" t="n"/>
      <c r="I91" s="4" t="n"/>
      <c r="J91" s="4" t="n"/>
      <c r="K91" s="4" t="inlineStr"/>
    </row>
    <row r="92">
      <c r="A92" s="4" t="inlineStr">
        <is>
          <t>W6ZSR3</t>
        </is>
      </c>
      <c r="B92" s="4" t="inlineStr">
        <is>
          <t>Bipolaris oryzae ATCC 44560</t>
        </is>
      </c>
      <c r="C92" s="4" t="inlineStr">
        <is>
          <t>Thiolase-like protein</t>
        </is>
      </c>
      <c r="D92" s="4" t="inlineStr">
        <is>
          <t>True</t>
        </is>
      </c>
      <c r="E92" s="4" t="inlineStr">
        <is>
          <t>CTCCFFYNIHNSP</t>
        </is>
      </c>
      <c r="F92" s="4" t="n">
        <v>7</v>
      </c>
      <c r="G92" s="4" t="inlineStr"/>
      <c r="H92" s="4" t="n"/>
      <c r="I92" s="4" t="n"/>
      <c r="J92" s="4" t="n"/>
      <c r="K92" s="4" t="inlineStr"/>
    </row>
    <row r="93">
      <c r="A93" s="4" t="inlineStr">
        <is>
          <t>A0A010QIZ4</t>
        </is>
      </c>
      <c r="B93" s="4" t="inlineStr">
        <is>
          <t>Colletotrichum fioriniae PJ7</t>
        </is>
      </c>
      <c r="C93" s="4" t="inlineStr">
        <is>
          <t>Chalcone and stilbene synthase</t>
        </is>
      </c>
      <c r="D93" s="4" t="inlineStr">
        <is>
          <t>True</t>
        </is>
      </c>
      <c r="E93" s="4" t="inlineStr">
        <is>
          <t>CTCSMFFDLHNSP</t>
        </is>
      </c>
      <c r="F93" s="4" t="n">
        <v>6</v>
      </c>
      <c r="G93" s="4" t="inlineStr"/>
      <c r="H93" s="4" t="n"/>
      <c r="I93" s="4" t="n"/>
      <c r="J93" s="4" t="n"/>
      <c r="K93" s="4" t="inlineStr"/>
    </row>
    <row r="94">
      <c r="A94" s="4" t="inlineStr">
        <is>
          <t>A0A072PJP8</t>
        </is>
      </c>
      <c r="B94" s="4" t="inlineStr">
        <is>
          <t>Exophiala aquamarina CBS 119918</t>
        </is>
      </c>
      <c r="C94" s="4" t="inlineStr">
        <is>
          <t>Chalcone synthase</t>
        </is>
      </c>
      <c r="D94" s="4" t="inlineStr">
        <is>
          <t>True</t>
        </is>
      </c>
      <c r="E94" s="4" t="inlineStr">
        <is>
          <t>CTCSLFFDLHNSP</t>
        </is>
      </c>
      <c r="F94" s="4" t="n">
        <v>6</v>
      </c>
      <c r="G94" s="4" t="inlineStr"/>
      <c r="H94" s="4" t="n"/>
      <c r="I94" s="4" t="n"/>
      <c r="J94" s="4" t="n"/>
      <c r="K94" s="4" t="inlineStr"/>
    </row>
    <row r="95">
      <c r="A95" s="4" t="inlineStr">
        <is>
          <t>A0A074VBS1</t>
        </is>
      </c>
      <c r="B95" s="4" t="inlineStr">
        <is>
          <t>Aureobasidium melanogenum (strain CBS 110374)</t>
        </is>
      </c>
      <c r="C95" s="4" t="inlineStr">
        <is>
          <t>Chalcone synthase B</t>
        </is>
      </c>
      <c r="D95" s="4" t="inlineStr">
        <is>
          <t>True</t>
        </is>
      </c>
      <c r="E95" s="4" t="inlineStr">
        <is>
          <t>CTCSNFFTLHNSP</t>
        </is>
      </c>
      <c r="F95" s="4" t="n">
        <v>6</v>
      </c>
      <c r="G95" s="4" t="inlineStr"/>
      <c r="H95" s="4" t="n"/>
      <c r="I95" s="4" t="n"/>
      <c r="J95" s="4" t="n"/>
      <c r="K95" s="4" t="inlineStr"/>
    </row>
    <row r="96">
      <c r="A96" s="4" t="inlineStr">
        <is>
          <t>A0A074W932</t>
        </is>
      </c>
      <c r="B96" s="4" t="inlineStr">
        <is>
          <t>Aureobasidium namibiae CBS 147.97</t>
        </is>
      </c>
      <c r="C96" s="4" t="inlineStr">
        <is>
          <t>Chalcone synthase B</t>
        </is>
      </c>
      <c r="D96" s="4" t="inlineStr">
        <is>
          <t>True</t>
        </is>
      </c>
      <c r="E96" s="4" t="inlineStr">
        <is>
          <t>CTCSNFFFLHNSP</t>
        </is>
      </c>
      <c r="F96" s="4" t="n">
        <v>6</v>
      </c>
      <c r="G96" s="4" t="inlineStr"/>
      <c r="H96" s="4" t="n"/>
      <c r="I96" s="4" t="n"/>
      <c r="J96" s="4" t="n"/>
      <c r="K96" s="4" t="inlineStr"/>
    </row>
    <row r="97">
      <c r="A97" s="4" t="inlineStr">
        <is>
          <t>A0A084AQX0</t>
        </is>
      </c>
      <c r="B97" s="4" t="inlineStr">
        <is>
          <t>Stachybotrys chartarum (strain CBS 109288 / IBT 7711)</t>
        </is>
      </c>
      <c r="C97" s="4" t="inlineStr">
        <is>
          <t>Uncharacterized protein</t>
        </is>
      </c>
      <c r="D97" s="4" t="inlineStr">
        <is>
          <t>True</t>
        </is>
      </c>
      <c r="E97" s="4" t="inlineStr">
        <is>
          <t>CTCSMFFDLHNSP</t>
        </is>
      </c>
      <c r="F97" s="4" t="n">
        <v>6</v>
      </c>
      <c r="G97" s="4" t="inlineStr"/>
      <c r="H97" s="4" t="n"/>
      <c r="I97" s="4" t="n"/>
      <c r="J97" s="4" t="n"/>
      <c r="K97" s="4" t="inlineStr"/>
    </row>
    <row r="98">
      <c r="A98" s="4" t="inlineStr">
        <is>
          <t>A0A084AVI2</t>
        </is>
      </c>
      <c r="B98" s="4" t="inlineStr">
        <is>
          <t>Stachybotrys chartarum (strain CBS 109288 / IBT 7711)</t>
        </is>
      </c>
      <c r="C98" s="4" t="inlineStr">
        <is>
          <t>Uncharacterized protein</t>
        </is>
      </c>
      <c r="D98" s="4" t="inlineStr">
        <is>
          <t>True</t>
        </is>
      </c>
      <c r="E98" s="4" t="inlineStr">
        <is>
          <t>CTCCLFFDLHNSP</t>
        </is>
      </c>
      <c r="F98" s="4" t="n">
        <v>6</v>
      </c>
      <c r="G98" s="4" t="inlineStr"/>
      <c r="H98" s="4" t="n"/>
      <c r="I98" s="4" t="n"/>
      <c r="J98" s="4" t="n"/>
      <c r="K98" s="4" t="inlineStr"/>
    </row>
    <row r="99">
      <c r="A99" s="4" t="inlineStr">
        <is>
          <t>A0A084FUT4</t>
        </is>
      </c>
      <c r="B99" s="4" t="inlineStr">
        <is>
          <t>Pseudallescheria apiosperma</t>
        </is>
      </c>
      <c r="C99" s="4" t="inlineStr">
        <is>
          <t>Chalcone synthase</t>
        </is>
      </c>
      <c r="D99" s="4" t="inlineStr">
        <is>
          <t>True</t>
        </is>
      </c>
      <c r="E99" s="4" t="inlineStr">
        <is>
          <t>CTCSMFFDLHNSP</t>
        </is>
      </c>
      <c r="F99" s="4" t="n">
        <v>6</v>
      </c>
      <c r="G99" s="4" t="inlineStr"/>
      <c r="H99" s="4" t="n"/>
      <c r="I99" s="4" t="n"/>
      <c r="J99" s="4" t="n"/>
      <c r="K99" s="4" t="inlineStr"/>
    </row>
    <row r="100">
      <c r="A100" s="4" t="inlineStr">
        <is>
          <t>A0A084R260</t>
        </is>
      </c>
      <c r="B100" s="4" t="inlineStr">
        <is>
          <t>Stachybotrys chlorohalonatus (strain IBT 40285)</t>
        </is>
      </c>
      <c r="C100" s="4" t="inlineStr">
        <is>
          <t>Uncharacterized protein</t>
        </is>
      </c>
      <c r="D100" s="4" t="inlineStr">
        <is>
          <t>True</t>
        </is>
      </c>
      <c r="E100" s="4" t="inlineStr">
        <is>
          <t>CTCVLF--YHNSP</t>
        </is>
      </c>
      <c r="F100" s="4" t="n">
        <v>6</v>
      </c>
      <c r="G100" s="4" t="inlineStr"/>
      <c r="H100" s="4" t="n"/>
      <c r="I100" s="4" t="n"/>
      <c r="J100" s="4" t="n"/>
      <c r="K100" s="4" t="inlineStr"/>
    </row>
    <row r="101">
      <c r="A101" s="4" t="inlineStr">
        <is>
          <t>A0A0B1PAA6</t>
        </is>
      </c>
      <c r="B101" s="4" t="inlineStr">
        <is>
          <t>Erysiphe necator</t>
        </is>
      </c>
      <c r="C101" s="4" t="inlineStr">
        <is>
          <t>Putative chalcone synthase c protein</t>
        </is>
      </c>
      <c r="D101" s="4" t="inlineStr">
        <is>
          <t>True</t>
        </is>
      </c>
      <c r="E101" s="4" t="inlineStr">
        <is>
          <t>CTCCMFFDLHNSP</t>
        </is>
      </c>
      <c r="F101" s="4" t="n">
        <v>6</v>
      </c>
      <c r="G101" s="4" t="inlineStr"/>
      <c r="H101" s="4" t="n"/>
      <c r="I101" s="4" t="n"/>
      <c r="J101" s="4" t="n"/>
      <c r="K101" s="4" t="inlineStr"/>
    </row>
    <row r="102">
      <c r="A102" s="4" t="inlineStr">
        <is>
          <t>A0A0C2F5M0</t>
        </is>
      </c>
      <c r="B102" s="4" t="inlineStr">
        <is>
          <t>Sporothrix brasiliensis 5110</t>
        </is>
      </c>
      <c r="C102" s="4" t="inlineStr">
        <is>
          <t>Type III polyketide synthase</t>
        </is>
      </c>
      <c r="D102" s="4" t="inlineStr">
        <is>
          <t>True</t>
        </is>
      </c>
      <c r="E102" s="4" t="inlineStr">
        <is>
          <t>CTCSMFFDLHNSP</t>
        </is>
      </c>
      <c r="F102" s="4" t="n">
        <v>6</v>
      </c>
      <c r="G102" s="4" t="inlineStr"/>
      <c r="H102" s="4" t="n"/>
      <c r="I102" s="4" t="n"/>
      <c r="J102" s="4" t="n"/>
      <c r="K102" s="4" t="inlineStr"/>
    </row>
    <row r="103">
      <c r="A103" s="4" t="inlineStr">
        <is>
          <t>A0A0C3D9L2</t>
        </is>
      </c>
      <c r="B103" s="4" t="inlineStr">
        <is>
          <t>Oidiodendron maius (strain Zn)</t>
        </is>
      </c>
      <c r="C103" s="4" t="inlineStr">
        <is>
          <t>Chalcone synthase</t>
        </is>
      </c>
      <c r="D103" s="4" t="inlineStr">
        <is>
          <t>True</t>
        </is>
      </c>
      <c r="E103" s="4" t="inlineStr">
        <is>
          <t>GGCNYFAVIHNGP</t>
        </is>
      </c>
      <c r="F103" s="4" t="n">
        <v>6</v>
      </c>
      <c r="G103" s="4" t="inlineStr"/>
      <c r="H103" s="4" t="n"/>
      <c r="I103" s="4" t="n"/>
      <c r="J103" s="4" t="n"/>
      <c r="K103" s="4" t="inlineStr"/>
    </row>
    <row r="104">
      <c r="A104" s="4" t="inlineStr">
        <is>
          <t>A0A0C4E6R1</t>
        </is>
      </c>
      <c r="B104" s="4" t="inlineStr">
        <is>
          <t>Magnaporthiopsis poae (strain ATCC 64411 / 73-15)</t>
        </is>
      </c>
      <c r="C104" s="4" t="inlineStr">
        <is>
          <t>Uncharacterized protein</t>
        </is>
      </c>
      <c r="D104" s="4" t="inlineStr">
        <is>
          <t>True</t>
        </is>
      </c>
      <c r="E104" s="4" t="inlineStr">
        <is>
          <t>CTCSFFFDLHNSP</t>
        </is>
      </c>
      <c r="F104" s="4" t="n">
        <v>6</v>
      </c>
      <c r="G104" s="4" t="inlineStr"/>
      <c r="H104" s="4" t="n"/>
      <c r="I104" s="4" t="n"/>
      <c r="J104" s="4" t="n"/>
      <c r="K104" s="4" t="inlineStr"/>
    </row>
    <row r="105">
      <c r="A105" s="4" t="inlineStr">
        <is>
          <t>A0A0D1WL63</t>
        </is>
      </c>
      <c r="B105" s="4" t="inlineStr">
        <is>
          <t>Exophiala mesophila</t>
        </is>
      </c>
      <c r="C105" s="4" t="inlineStr">
        <is>
          <t>Chalcone synthase</t>
        </is>
      </c>
      <c r="D105" s="4" t="inlineStr">
        <is>
          <t>True</t>
        </is>
      </c>
      <c r="E105" s="4" t="inlineStr">
        <is>
          <t>CTCSFFFDLHNSP</t>
        </is>
      </c>
      <c r="F105" s="4" t="n">
        <v>6</v>
      </c>
      <c r="G105" s="4" t="inlineStr"/>
      <c r="H105" s="4" t="n"/>
      <c r="I105" s="4" t="n"/>
      <c r="J105" s="4" t="n"/>
      <c r="K105" s="4" t="inlineStr"/>
    </row>
    <row r="106">
      <c r="A106" s="4" t="inlineStr">
        <is>
          <t>A0A0D2C9T2</t>
        </is>
      </c>
      <c r="B106" s="4" t="inlineStr">
        <is>
          <t>Exophiala spinifera</t>
        </is>
      </c>
      <c r="C106" s="4" t="inlineStr">
        <is>
          <t>Chalcone synthase</t>
        </is>
      </c>
      <c r="D106" s="4" t="inlineStr">
        <is>
          <t>True</t>
        </is>
      </c>
      <c r="E106" s="4" t="inlineStr">
        <is>
          <t>CTCSLFFDLHNSP</t>
        </is>
      </c>
      <c r="F106" s="4" t="n">
        <v>6</v>
      </c>
      <c r="G106" s="4" t="inlineStr"/>
      <c r="H106" s="4" t="n"/>
      <c r="I106" s="4" t="n"/>
      <c r="J106" s="4" t="n"/>
      <c r="K106" s="4" t="inlineStr"/>
    </row>
    <row r="107">
      <c r="A107" s="4" t="inlineStr">
        <is>
          <t>A0A0D2CEC4</t>
        </is>
      </c>
      <c r="B107" s="4" t="inlineStr">
        <is>
          <t>Exophiala oligosperma</t>
        </is>
      </c>
      <c r="C107" s="4" t="inlineStr">
        <is>
          <t>Chalcone synthase</t>
        </is>
      </c>
      <c r="D107" s="4" t="inlineStr">
        <is>
          <t>True</t>
        </is>
      </c>
      <c r="E107" s="4" t="inlineStr">
        <is>
          <t>CTCSLFFDLHNSP</t>
        </is>
      </c>
      <c r="F107" s="4" t="n">
        <v>6</v>
      </c>
      <c r="G107" s="4" t="inlineStr"/>
      <c r="H107" s="4" t="n"/>
      <c r="I107" s="4" t="n"/>
      <c r="J107" s="4" t="n"/>
      <c r="K107" s="4" t="inlineStr"/>
    </row>
    <row r="108">
      <c r="A108" s="4" t="inlineStr">
        <is>
          <t>A0A0D2D1A3</t>
        </is>
      </c>
      <c r="B108" s="4" t="inlineStr">
        <is>
          <t>Exophiala xenobiotica</t>
        </is>
      </c>
      <c r="C108" s="4" t="inlineStr">
        <is>
          <t>Chalcone synthase</t>
        </is>
      </c>
      <c r="D108" s="4" t="inlineStr">
        <is>
          <t>True</t>
        </is>
      </c>
      <c r="E108" s="4" t="inlineStr">
        <is>
          <t>CTCSLFFDLHNSP</t>
        </is>
      </c>
      <c r="F108" s="4" t="n">
        <v>6</v>
      </c>
      <c r="G108" s="4" t="inlineStr"/>
      <c r="H108" s="4" t="n"/>
      <c r="I108" s="4" t="n"/>
      <c r="J108" s="4" t="n"/>
      <c r="K108" s="4" t="inlineStr"/>
    </row>
    <row r="109">
      <c r="A109" s="4" t="inlineStr">
        <is>
          <t>A0A0D2G0G6</t>
        </is>
      </c>
      <c r="B109" s="4" t="inlineStr">
        <is>
          <t>Phialophora macrospora</t>
        </is>
      </c>
      <c r="C109" s="4" t="inlineStr">
        <is>
          <t>Chalcone synthase</t>
        </is>
      </c>
      <c r="D109" s="4" t="inlineStr">
        <is>
          <t>True</t>
        </is>
      </c>
      <c r="E109" s="4" t="inlineStr">
        <is>
          <t>CTCSLFFDLHNSP</t>
        </is>
      </c>
      <c r="F109" s="4" t="n">
        <v>6</v>
      </c>
      <c r="G109" s="4" t="inlineStr"/>
      <c r="H109" s="4" t="n"/>
      <c r="I109" s="4" t="n"/>
      <c r="J109" s="4" t="n"/>
      <c r="K109" s="4" t="inlineStr"/>
    </row>
    <row r="110">
      <c r="A110" s="4" t="inlineStr">
        <is>
          <t>A0A0D2GWU2</t>
        </is>
      </c>
      <c r="B110" s="4" t="inlineStr">
        <is>
          <t>Rhinocladiella mackenziei CBS 650.93</t>
        </is>
      </c>
      <c r="C110" s="4" t="inlineStr">
        <is>
          <t>Chalcone synthase</t>
        </is>
      </c>
      <c r="D110" s="4" t="inlineStr">
        <is>
          <t>True</t>
        </is>
      </c>
      <c r="E110" s="4" t="inlineStr">
        <is>
          <t>CTCSLFFDLHNSP</t>
        </is>
      </c>
      <c r="F110" s="4" t="n">
        <v>6</v>
      </c>
      <c r="G110" s="4" t="inlineStr"/>
      <c r="H110" s="4" t="n"/>
      <c r="I110" s="4" t="n"/>
      <c r="J110" s="4" t="n"/>
      <c r="K110" s="4" t="inlineStr"/>
    </row>
    <row r="111">
      <c r="A111" s="4" t="inlineStr">
        <is>
          <t>A0A0F4ZKS6</t>
        </is>
      </c>
      <c r="B111" s="4" t="inlineStr">
        <is>
          <t>Thielaviopsis punctulata</t>
        </is>
      </c>
      <c r="C111" s="4" t="inlineStr">
        <is>
          <t>Chalcone synthase</t>
        </is>
      </c>
      <c r="D111" s="4" t="inlineStr">
        <is>
          <t>True</t>
        </is>
      </c>
      <c r="E111" s="4" t="inlineStr">
        <is>
          <t>CTCSLFFDLHNSP</t>
        </is>
      </c>
      <c r="F111" s="4" t="n">
        <v>6</v>
      </c>
      <c r="G111" s="4" t="inlineStr"/>
      <c r="H111" s="4" t="n"/>
      <c r="I111" s="4" t="n"/>
      <c r="J111" s="4" t="n"/>
      <c r="K111" s="4" t="inlineStr"/>
    </row>
    <row r="112">
      <c r="A112" s="4" t="inlineStr">
        <is>
          <t>A0A0G4NUG8</t>
        </is>
      </c>
      <c r="B112" s="4" t="inlineStr">
        <is>
          <t>Penicillium camemberti (strain FM 013)</t>
        </is>
      </c>
      <c r="C112" s="4" t="inlineStr">
        <is>
          <t>Polyketide synthase, type III</t>
        </is>
      </c>
      <c r="D112" s="4" t="inlineStr">
        <is>
          <t>True</t>
        </is>
      </c>
      <c r="E112" s="4" t="inlineStr">
        <is>
          <t>CTCCNFFYLHNSP</t>
        </is>
      </c>
      <c r="F112" s="4" t="n">
        <v>6</v>
      </c>
      <c r="G112" s="4" t="inlineStr"/>
      <c r="H112" s="4" t="n"/>
      <c r="I112" s="4" t="n"/>
      <c r="J112" s="4" t="n"/>
      <c r="K112" s="4" t="inlineStr"/>
    </row>
    <row r="113">
      <c r="A113" s="4" t="inlineStr">
        <is>
          <t>A0A0L1J3G7</t>
        </is>
      </c>
      <c r="B113" s="4" t="inlineStr">
        <is>
          <t>Aspergillus nomiae NRRL (strain ATCC 15546 / NRRL 13137 / CBS 260.88 / M93)</t>
        </is>
      </c>
      <c r="C113" s="4" t="inlineStr">
        <is>
          <t>Chalcone synthase</t>
        </is>
      </c>
      <c r="D113" s="4" t="inlineStr">
        <is>
          <t>True</t>
        </is>
      </c>
      <c r="E113" s="4" t="inlineStr">
        <is>
          <t>CTCQYF-NIHNSA</t>
        </is>
      </c>
      <c r="F113" s="4" t="n">
        <v>6</v>
      </c>
      <c r="G113" s="4" t="inlineStr"/>
      <c r="H113" s="4" t="n"/>
      <c r="I113" s="4" t="n"/>
      <c r="J113" s="4" t="n"/>
      <c r="K113" s="4" t="inlineStr"/>
    </row>
    <row r="114">
      <c r="A114" s="4" t="inlineStr">
        <is>
          <t>A0A0N0DHY2</t>
        </is>
      </c>
      <c r="B114" s="4" t="inlineStr">
        <is>
          <t>Fusarium langsethiae</t>
        </is>
      </c>
      <c r="C114" s="4" t="inlineStr">
        <is>
          <t>Stilbene synthase 3</t>
        </is>
      </c>
      <c r="D114" s="4" t="inlineStr">
        <is>
          <t>True</t>
        </is>
      </c>
      <c r="E114" s="4" t="inlineStr">
        <is>
          <t>CTCSLFFDLHNSP</t>
        </is>
      </c>
      <c r="F114" s="4" t="n">
        <v>6</v>
      </c>
      <c r="G114" s="4" t="inlineStr"/>
      <c r="H114" s="4" t="n"/>
      <c r="I114" s="4" t="n"/>
      <c r="J114" s="4" t="n"/>
      <c r="K114" s="4" t="inlineStr"/>
    </row>
    <row r="115">
      <c r="A115" s="4" t="inlineStr">
        <is>
          <t>A0A0N1HGD1</t>
        </is>
      </c>
      <c r="B115" s="4" t="inlineStr">
        <is>
          <t>Cyphellophora attinorum</t>
        </is>
      </c>
      <c r="C115" s="4" t="inlineStr">
        <is>
          <t>Chalcone synthase J</t>
        </is>
      </c>
      <c r="D115" s="4" t="inlineStr">
        <is>
          <t>True</t>
        </is>
      </c>
      <c r="E115" s="4" t="inlineStr">
        <is>
          <t>CTCSLFFDLHNSP</t>
        </is>
      </c>
      <c r="F115" s="4" t="n">
        <v>6</v>
      </c>
      <c r="G115" s="4" t="inlineStr"/>
      <c r="H115" s="4" t="n"/>
      <c r="I115" s="4" t="n"/>
      <c r="J115" s="4" t="n"/>
      <c r="K115" s="4" t="inlineStr"/>
    </row>
    <row r="116">
      <c r="A116" s="4" t="inlineStr">
        <is>
          <t>A0A0P7BB74</t>
        </is>
      </c>
      <c r="B116" s="4" t="inlineStr">
        <is>
          <t>Neonectria ditissima</t>
        </is>
      </c>
      <c r="C116" s="4" t="inlineStr">
        <is>
          <t>Stilbene synthase 3</t>
        </is>
      </c>
      <c r="D116" s="4" t="inlineStr">
        <is>
          <t>True</t>
        </is>
      </c>
      <c r="E116" s="4" t="inlineStr">
        <is>
          <t>CTCSMFFDLHNSP</t>
        </is>
      </c>
      <c r="F116" s="4" t="n">
        <v>6</v>
      </c>
      <c r="G116" s="4" t="inlineStr"/>
      <c r="H116" s="4" t="n"/>
      <c r="I116" s="4" t="n"/>
      <c r="J116" s="4" t="n"/>
      <c r="K116" s="4" t="inlineStr"/>
    </row>
    <row r="117">
      <c r="A117" s="4" t="inlineStr">
        <is>
          <t>A0A0U5G292</t>
        </is>
      </c>
      <c r="B117" s="4" t="inlineStr">
        <is>
          <t>Aspergillus calidoustus</t>
        </is>
      </c>
      <c r="C117" s="4" t="inlineStr">
        <is>
          <t>Chalcone synthase</t>
        </is>
      </c>
      <c r="D117" s="4" t="inlineStr">
        <is>
          <t>True</t>
        </is>
      </c>
      <c r="E117" s="4" t="inlineStr">
        <is>
          <t>ATCCNFFSLHNSP</t>
        </is>
      </c>
      <c r="F117" s="4" t="n">
        <v>6</v>
      </c>
      <c r="G117" s="4" t="inlineStr"/>
      <c r="H117" s="4" t="n"/>
      <c r="I117" s="4" t="n"/>
      <c r="J117" s="4" t="n"/>
      <c r="K117" s="4" t="inlineStr"/>
    </row>
    <row r="118">
      <c r="A118" s="4" t="inlineStr">
        <is>
          <t>A0A101MP05</t>
        </is>
      </c>
      <c r="B118" s="4" t="inlineStr">
        <is>
          <t>Penicillium freii</t>
        </is>
      </c>
      <c r="C118" s="4" t="inlineStr">
        <is>
          <t>Chalcone synthase</t>
        </is>
      </c>
      <c r="D118" s="4" t="inlineStr">
        <is>
          <t>True</t>
        </is>
      </c>
      <c r="E118" s="4" t="inlineStr">
        <is>
          <t>CTCCNFFYLHNSP</t>
        </is>
      </c>
      <c r="F118" s="4" t="n">
        <v>6</v>
      </c>
      <c r="G118" s="4" t="inlineStr"/>
      <c r="H118" s="4" t="n"/>
      <c r="I118" s="4" t="n"/>
      <c r="J118" s="4" t="n"/>
      <c r="K118" s="4" t="inlineStr"/>
    </row>
    <row r="119">
      <c r="A119" s="4" t="inlineStr">
        <is>
          <t>A0A136IT12</t>
        </is>
      </c>
      <c r="B119" s="4" t="inlineStr">
        <is>
          <t>Microdochium bolleyi</t>
        </is>
      </c>
      <c r="C119" s="4" t="inlineStr">
        <is>
          <t>Type Iii polyketide synthase</t>
        </is>
      </c>
      <c r="D119" s="4" t="inlineStr">
        <is>
          <t>True</t>
        </is>
      </c>
      <c r="E119" s="4" t="inlineStr">
        <is>
          <t>CTCNLFFDLHNSP</t>
        </is>
      </c>
      <c r="F119" s="4" t="n">
        <v>6</v>
      </c>
      <c r="G119" s="4" t="inlineStr"/>
      <c r="H119" s="4" t="n"/>
      <c r="I119" s="4" t="n"/>
      <c r="J119" s="4" t="n"/>
      <c r="K119" s="4" t="inlineStr"/>
    </row>
    <row r="120">
      <c r="A120" s="4" t="inlineStr">
        <is>
          <t>A0A136JJJ2</t>
        </is>
      </c>
      <c r="B120" s="4" t="inlineStr">
        <is>
          <t>Microdochium bolleyi</t>
        </is>
      </c>
      <c r="C120" s="4" t="inlineStr">
        <is>
          <t>Chalcone and stilbene synthase</t>
        </is>
      </c>
      <c r="D120" s="4" t="inlineStr">
        <is>
          <t>True</t>
        </is>
      </c>
      <c r="E120" s="4" t="inlineStr">
        <is>
          <t>CTCSLFFQLHNSP</t>
        </is>
      </c>
      <c r="F120" s="4" t="n">
        <v>6</v>
      </c>
      <c r="G120" s="4" t="inlineStr"/>
      <c r="H120" s="4" t="n"/>
      <c r="I120" s="4" t="n"/>
      <c r="J120" s="4" t="n"/>
      <c r="K120" s="4" t="inlineStr"/>
    </row>
    <row r="121">
      <c r="A121" s="4" t="inlineStr">
        <is>
          <t>A0A139HN42</t>
        </is>
      </c>
      <c r="B121" s="4" t="inlineStr">
        <is>
          <t>Pseudocercospora eumusae</t>
        </is>
      </c>
      <c r="C121" s="4" t="inlineStr">
        <is>
          <t>Chalcone synthase</t>
        </is>
      </c>
      <c r="D121" s="4" t="inlineStr">
        <is>
          <t>True</t>
        </is>
      </c>
      <c r="E121" s="4" t="inlineStr">
        <is>
          <t>CTCCNFFYLHNSP</t>
        </is>
      </c>
      <c r="F121" s="4" t="n">
        <v>6</v>
      </c>
      <c r="G121" s="4" t="inlineStr"/>
      <c r="H121" s="4" t="n"/>
      <c r="I121" s="4" t="n"/>
      <c r="J121" s="4" t="n"/>
      <c r="K121" s="4" t="inlineStr"/>
    </row>
    <row r="122">
      <c r="A122" s="4" t="inlineStr">
        <is>
          <t>A0A145YFY3</t>
        </is>
      </c>
      <c r="B122" s="4" t="inlineStr">
        <is>
          <t>Sporotrichum laxum</t>
        </is>
      </c>
      <c r="C122" s="4" t="inlineStr">
        <is>
          <t>Type III polyketide synthase</t>
        </is>
      </c>
      <c r="D122" s="4" t="inlineStr">
        <is>
          <t>True</t>
        </is>
      </c>
      <c r="E122" s="4" t="inlineStr">
        <is>
          <t>CTCSLFFDLHNSP</t>
        </is>
      </c>
      <c r="F122" s="4" t="n">
        <v>6</v>
      </c>
      <c r="G122" s="4" t="inlineStr"/>
      <c r="H122" s="4" t="n"/>
      <c r="I122" s="4" t="n"/>
      <c r="J122" s="4" t="n"/>
      <c r="K122" s="4" t="inlineStr"/>
    </row>
    <row r="123">
      <c r="A123" s="3" t="inlineStr">
        <is>
          <t>A0A162JF80</t>
        </is>
      </c>
      <c r="B123" s="3" t="inlineStr">
        <is>
          <t>Niveomyces insectorum RCEF 264</t>
        </is>
      </c>
      <c r="C123" s="3" t="inlineStr">
        <is>
          <t>Polyketide synthase</t>
        </is>
      </c>
      <c r="D123" s="3" t="inlineStr">
        <is>
          <t>True</t>
        </is>
      </c>
      <c r="E123" s="3" t="inlineStr">
        <is>
          <t>CTCSMFFDLHNSP</t>
        </is>
      </c>
      <c r="F123" s="3" t="n">
        <v>6</v>
      </c>
      <c r="G123" s="3" t="inlineStr">
        <is>
          <t>SinsPKS</t>
        </is>
      </c>
      <c r="H123" s="3" t="n">
        <v>1</v>
      </c>
      <c r="I123" s="3" t="n">
        <v>0</v>
      </c>
      <c r="J123" s="3" t="n">
        <v>2</v>
      </c>
      <c r="K123" s="3" t="inlineStr">
        <is>
          <t>decanoyl-coa,myristoyl-coa</t>
        </is>
      </c>
    </row>
    <row r="124">
      <c r="A124" s="4" t="inlineStr">
        <is>
          <t>A0A166VFK6</t>
        </is>
      </c>
      <c r="B124" s="4" t="inlineStr">
        <is>
          <t>Colletotrichum tofieldiae</t>
        </is>
      </c>
      <c r="C124" s="4" t="inlineStr">
        <is>
          <t>Chalcone and stilbene synthase domain-containing protein (Fragment)</t>
        </is>
      </c>
      <c r="D124" s="4" t="inlineStr">
        <is>
          <t>True</t>
        </is>
      </c>
      <c r="E124" s="4" t="inlineStr">
        <is>
          <t>CTCSMFFDLHNSP</t>
        </is>
      </c>
      <c r="F124" s="4" t="n">
        <v>6</v>
      </c>
      <c r="G124" s="4" t="inlineStr"/>
      <c r="H124" s="4" t="n"/>
      <c r="I124" s="4" t="n"/>
      <c r="J124" s="4" t="n"/>
      <c r="K124" s="4" t="inlineStr"/>
    </row>
    <row r="125">
      <c r="A125" s="4" t="inlineStr">
        <is>
          <t>A0A168CIL4</t>
        </is>
      </c>
      <c r="B125" s="4" t="inlineStr">
        <is>
          <t>Moelleriella libera RCEF 2490</t>
        </is>
      </c>
      <c r="C125" s="4" t="inlineStr">
        <is>
          <t>A chain a type 3 polyketide synthase pksiiinc from</t>
        </is>
      </c>
      <c r="D125" s="4" t="inlineStr">
        <is>
          <t>True</t>
        </is>
      </c>
      <c r="E125" s="4" t="inlineStr">
        <is>
          <t>--CSLFFNLHNSP</t>
        </is>
      </c>
      <c r="F125" s="4" t="n">
        <v>6</v>
      </c>
      <c r="G125" s="4" t="inlineStr"/>
      <c r="H125" s="4" t="n"/>
      <c r="I125" s="4" t="n"/>
      <c r="J125" s="4" t="n"/>
      <c r="K125" s="4" t="inlineStr"/>
    </row>
    <row r="126">
      <c r="A126" s="4" t="inlineStr">
        <is>
          <t>A0A178FQT0</t>
        </is>
      </c>
      <c r="B126" s="4" t="inlineStr">
        <is>
          <t>Trichophyton violaceum</t>
        </is>
      </c>
      <c r="C126" s="4" t="inlineStr">
        <is>
          <t>Chalcone synthase</t>
        </is>
      </c>
      <c r="D126" s="4" t="inlineStr">
        <is>
          <t>True</t>
        </is>
      </c>
      <c r="E126" s="4" t="inlineStr">
        <is>
          <t>CTCCNFCYLHNSP</t>
        </is>
      </c>
      <c r="F126" s="4" t="n">
        <v>6</v>
      </c>
      <c r="G126" s="4" t="inlineStr"/>
      <c r="H126" s="4" t="n"/>
      <c r="I126" s="4" t="n"/>
      <c r="J126" s="4" t="n"/>
      <c r="K126" s="4" t="inlineStr"/>
    </row>
    <row r="127">
      <c r="A127" s="3" t="inlineStr">
        <is>
          <t>A0A194VDY8</t>
        </is>
      </c>
      <c r="B127" s="3" t="inlineStr">
        <is>
          <t>Cytospora mali</t>
        </is>
      </c>
      <c r="C127" s="3" t="inlineStr">
        <is>
          <t>5,7-dihydroxy-2-methylchromone synthase</t>
        </is>
      </c>
      <c r="D127" s="3" t="inlineStr">
        <is>
          <t>True</t>
        </is>
      </c>
      <c r="E127" s="3" t="inlineStr">
        <is>
          <t>CTCSMFFDLHNSP</t>
        </is>
      </c>
      <c r="F127" s="3" t="n">
        <v>6</v>
      </c>
      <c r="G127" s="3" t="inlineStr">
        <is>
          <t>VmalPKS</t>
        </is>
      </c>
      <c r="H127" s="3" t="n">
        <v>1</v>
      </c>
      <c r="I127" s="3" t="n">
        <v>0</v>
      </c>
      <c r="J127" s="3" t="n">
        <v>4</v>
      </c>
      <c r="K127" s="3" t="inlineStr">
        <is>
          <t>decanoyl-coa,hexanoyl-coa,myristoyl-coa,oleoyl-coa</t>
        </is>
      </c>
    </row>
    <row r="128">
      <c r="A128" s="4" t="inlineStr">
        <is>
          <t>A0A194WWD4</t>
        </is>
      </c>
      <c r="B128" s="4" t="inlineStr">
        <is>
          <t>Mollisia scopiformis</t>
        </is>
      </c>
      <c r="C128" s="4" t="inlineStr">
        <is>
          <t>Thiolase-like protein</t>
        </is>
      </c>
      <c r="D128" s="4" t="inlineStr">
        <is>
          <t>True</t>
        </is>
      </c>
      <c r="E128" s="4" t="inlineStr">
        <is>
          <t>CTCSLFFDLHNSP</t>
        </is>
      </c>
      <c r="F128" s="4" t="n">
        <v>6</v>
      </c>
      <c r="G128" s="4" t="inlineStr"/>
      <c r="H128" s="4" t="n"/>
      <c r="I128" s="4" t="n"/>
      <c r="J128" s="4" t="n"/>
      <c r="K128" s="4" t="inlineStr"/>
    </row>
    <row r="129">
      <c r="A129" s="4" t="inlineStr">
        <is>
          <t>A0A1B8ASZ0</t>
        </is>
      </c>
      <c r="B129" s="4" t="inlineStr">
        <is>
          <t>Fusarium poae</t>
        </is>
      </c>
      <c r="C129" s="4" t="inlineStr">
        <is>
          <t>Chalcone/stilbene synthase N-terminal domain-containing protein</t>
        </is>
      </c>
      <c r="D129" s="4" t="inlineStr">
        <is>
          <t>True</t>
        </is>
      </c>
      <c r="E129" s="4" t="inlineStr">
        <is>
          <t>CTCSLFFDLHNSP</t>
        </is>
      </c>
      <c r="F129" s="4" t="n">
        <v>6</v>
      </c>
      <c r="G129" s="4" t="inlineStr"/>
      <c r="H129" s="4" t="n"/>
      <c r="I129" s="4" t="n"/>
      <c r="J129" s="4" t="n"/>
      <c r="K129" s="4" t="inlineStr"/>
    </row>
    <row r="130">
      <c r="A130" s="4" t="inlineStr">
        <is>
          <t>A0A1B8GPR4</t>
        </is>
      </c>
      <c r="B130" s="4" t="inlineStr">
        <is>
          <t>Pseudogymnoascus verrucosus</t>
        </is>
      </c>
      <c r="C130" s="4" t="inlineStr">
        <is>
          <t>Type III Polyketide synthases (Type III PKS)</t>
        </is>
      </c>
      <c r="D130" s="4" t="inlineStr">
        <is>
          <t>True</t>
        </is>
      </c>
      <c r="E130" s="4" t="inlineStr">
        <is>
          <t>CTCCLFFNLHNSP</t>
        </is>
      </c>
      <c r="F130" s="4" t="n">
        <v>6</v>
      </c>
      <c r="G130" s="4" t="inlineStr"/>
      <c r="H130" s="4" t="n"/>
      <c r="I130" s="4" t="n"/>
      <c r="J130" s="4" t="n"/>
      <c r="K130" s="4" t="inlineStr"/>
    </row>
    <row r="131">
      <c r="A131" s="4" t="inlineStr">
        <is>
          <t>A0A1E1K3U6</t>
        </is>
      </c>
      <c r="B131" s="4" t="inlineStr">
        <is>
          <t>Rhynchosporium agropyri</t>
        </is>
      </c>
      <c r="C131" s="4" t="inlineStr">
        <is>
          <t>Related to stilbene synthase 2</t>
        </is>
      </c>
      <c r="D131" s="4" t="inlineStr">
        <is>
          <t>True</t>
        </is>
      </c>
      <c r="E131" s="4" t="inlineStr">
        <is>
          <t>CTCSLFFDLHNSP</t>
        </is>
      </c>
      <c r="F131" s="4" t="n">
        <v>6</v>
      </c>
      <c r="G131" s="4" t="inlineStr"/>
      <c r="H131" s="4" t="n"/>
      <c r="I131" s="4" t="n"/>
      <c r="J131" s="4" t="n"/>
      <c r="K131" s="4" t="inlineStr"/>
    </row>
    <row r="132">
      <c r="A132" s="4" t="inlineStr">
        <is>
          <t>A0A1F5L6P8</t>
        </is>
      </c>
      <c r="B132" s="4" t="inlineStr">
        <is>
          <t>Penicillium arizonense</t>
        </is>
      </c>
      <c r="C132" s="4" t="inlineStr">
        <is>
          <t>Chalcone synthase</t>
        </is>
      </c>
      <c r="D132" s="4" t="inlineStr">
        <is>
          <t>True</t>
        </is>
      </c>
      <c r="E132" s="4" t="inlineStr">
        <is>
          <t>CTCCNFFYLHNSP</t>
        </is>
      </c>
      <c r="F132" s="4" t="n">
        <v>6</v>
      </c>
      <c r="G132" s="4" t="inlineStr"/>
      <c r="H132" s="4" t="n"/>
      <c r="I132" s="4" t="n"/>
      <c r="J132" s="4" t="n"/>
      <c r="K132" s="4" t="inlineStr"/>
    </row>
    <row r="133">
      <c r="A133" s="4" t="inlineStr">
        <is>
          <t>A0A1F7ZX70</t>
        </is>
      </c>
      <c r="B133" s="4" t="inlineStr">
        <is>
          <t>Aspergillus bombycis</t>
        </is>
      </c>
      <c r="C133" s="4" t="inlineStr">
        <is>
          <t>Chalcone synthase</t>
        </is>
      </c>
      <c r="D133" s="4" t="inlineStr">
        <is>
          <t>True</t>
        </is>
      </c>
      <c r="E133" s="4" t="inlineStr">
        <is>
          <t>CTCQYF-NIHNSA</t>
        </is>
      </c>
      <c r="F133" s="4" t="n">
        <v>6</v>
      </c>
      <c r="G133" s="4" t="inlineStr"/>
      <c r="H133" s="4" t="n"/>
      <c r="I133" s="4" t="n"/>
      <c r="J133" s="4" t="n"/>
      <c r="K133" s="4" t="inlineStr"/>
    </row>
    <row r="134">
      <c r="A134" s="4" t="inlineStr">
        <is>
          <t>A0A1F8AG56</t>
        </is>
      </c>
      <c r="B134" s="4" t="inlineStr">
        <is>
          <t>Aspergillus bombycis</t>
        </is>
      </c>
      <c r="C134" s="4" t="inlineStr">
        <is>
          <t>Chalcone synthase B</t>
        </is>
      </c>
      <c r="D134" s="4" t="inlineStr">
        <is>
          <t>True</t>
        </is>
      </c>
      <c r="E134" s="4" t="inlineStr">
        <is>
          <t>CTCCNFFFLHNSP</t>
        </is>
      </c>
      <c r="F134" s="4" t="n">
        <v>6</v>
      </c>
      <c r="G134" s="4" t="inlineStr"/>
      <c r="H134" s="4" t="n"/>
      <c r="I134" s="4" t="n"/>
      <c r="J134" s="4" t="n"/>
      <c r="K134" s="4" t="inlineStr"/>
    </row>
    <row r="135">
      <c r="A135" s="4" t="inlineStr">
        <is>
          <t>A0A1J7I4S7</t>
        </is>
      </c>
      <c r="B135" s="4" t="inlineStr">
        <is>
          <t>Coniochaeta ligniaria NRRL 30616</t>
        </is>
      </c>
      <c r="C135" s="4" t="inlineStr">
        <is>
          <t>Thiolase-like protein</t>
        </is>
      </c>
      <c r="D135" s="4" t="inlineStr">
        <is>
          <t>True</t>
        </is>
      </c>
      <c r="E135" s="4" t="inlineStr">
        <is>
          <t>GTCTNFCLMHNAP</t>
        </is>
      </c>
      <c r="F135" s="4" t="n">
        <v>6</v>
      </c>
      <c r="G135" s="4" t="inlineStr"/>
      <c r="H135" s="4" t="n"/>
      <c r="I135" s="4" t="n"/>
      <c r="J135" s="4" t="n"/>
      <c r="K135" s="4" t="inlineStr"/>
    </row>
    <row r="136">
      <c r="A136" s="4" t="inlineStr">
        <is>
          <t>A0A1J7IAV3</t>
        </is>
      </c>
      <c r="B136" s="4" t="inlineStr">
        <is>
          <t>Coniochaeta ligniaria NRRL 30616</t>
        </is>
      </c>
      <c r="C136" s="4" t="inlineStr">
        <is>
          <t>Thiolase-like protein</t>
        </is>
      </c>
      <c r="D136" s="4" t="inlineStr">
        <is>
          <t>True</t>
        </is>
      </c>
      <c r="E136" s="4" t="inlineStr">
        <is>
          <t>CTCSMFFDLHNSP</t>
        </is>
      </c>
      <c r="F136" s="4" t="n">
        <v>6</v>
      </c>
      <c r="G136" s="4" t="inlineStr"/>
      <c r="H136" s="4" t="n"/>
      <c r="I136" s="4" t="n"/>
      <c r="J136" s="4" t="n"/>
      <c r="K136" s="4" t="inlineStr"/>
    </row>
    <row r="137">
      <c r="A137" s="4" t="inlineStr">
        <is>
          <t>A0A1L7WHI9</t>
        </is>
      </c>
      <c r="B137" s="4" t="inlineStr">
        <is>
          <t>Phialocephala subalpina</t>
        </is>
      </c>
      <c r="C137" s="4" t="inlineStr">
        <is>
          <t>Related to stilbene synthase 2</t>
        </is>
      </c>
      <c r="D137" s="4" t="inlineStr">
        <is>
          <t>True</t>
        </is>
      </c>
      <c r="E137" s="4" t="inlineStr">
        <is>
          <t>CTCSLFFDLHNSP</t>
        </is>
      </c>
      <c r="F137" s="4" t="n">
        <v>6</v>
      </c>
      <c r="G137" s="4" t="inlineStr"/>
      <c r="H137" s="4" t="n"/>
      <c r="I137" s="4" t="n"/>
      <c r="J137" s="4" t="n"/>
      <c r="K137" s="4" t="inlineStr"/>
    </row>
    <row r="138">
      <c r="A138" s="4" t="inlineStr">
        <is>
          <t>A0A1L9WIG9</t>
        </is>
      </c>
      <c r="B138" s="4" t="inlineStr">
        <is>
          <t>Aspergillus aculeatus (strain ATCC 16872 / CBS 172.66 / WB 5094)</t>
        </is>
      </c>
      <c r="C138" s="4" t="inlineStr">
        <is>
          <t>Thiolase-like protein</t>
        </is>
      </c>
      <c r="D138" s="4" t="inlineStr">
        <is>
          <t>True</t>
        </is>
      </c>
      <c r="E138" s="4" t="inlineStr">
        <is>
          <t>VTC--FYRLHNSP</t>
        </is>
      </c>
      <c r="F138" s="4" t="n">
        <v>6</v>
      </c>
      <c r="G138" s="4" t="inlineStr"/>
      <c r="H138" s="4" t="n"/>
      <c r="I138" s="4" t="n"/>
      <c r="J138" s="4" t="n"/>
      <c r="K138" s="4" t="inlineStr"/>
    </row>
    <row r="139">
      <c r="A139" s="4" t="inlineStr">
        <is>
          <t>A0A1Q5U757</t>
        </is>
      </c>
      <c r="B139" s="4" t="inlineStr">
        <is>
          <t>Penicillium subrubescens</t>
        </is>
      </c>
      <c r="C139" s="4" t="inlineStr">
        <is>
          <t>Polyketide synthase 5</t>
        </is>
      </c>
      <c r="D139" s="4" t="inlineStr">
        <is>
          <t>True</t>
        </is>
      </c>
      <c r="E139" s="4" t="inlineStr">
        <is>
          <t>CTCCNFFYLHNSP</t>
        </is>
      </c>
      <c r="F139" s="4" t="n">
        <v>6</v>
      </c>
      <c r="G139" s="4" t="inlineStr"/>
      <c r="H139" s="4" t="n"/>
      <c r="I139" s="4" t="n"/>
      <c r="J139" s="4" t="n"/>
      <c r="K139" s="4" t="inlineStr"/>
    </row>
    <row r="140">
      <c r="A140" s="4" t="inlineStr">
        <is>
          <t>A0A1Q8S3L2</t>
        </is>
      </c>
      <c r="B140" s="4" t="inlineStr">
        <is>
          <t>Colletotrichum chlorophyti</t>
        </is>
      </c>
      <c r="C140" s="4" t="inlineStr">
        <is>
          <t>Putative stilbene synthase 2</t>
        </is>
      </c>
      <c r="D140" s="4" t="inlineStr">
        <is>
          <t>True</t>
        </is>
      </c>
      <c r="E140" s="4" t="inlineStr">
        <is>
          <t>CTCSLFFDLHNSP</t>
        </is>
      </c>
      <c r="F140" s="4" t="n">
        <v>6</v>
      </c>
      <c r="G140" s="4" t="inlineStr"/>
      <c r="H140" s="4" t="n"/>
      <c r="I140" s="4" t="n"/>
      <c r="J140" s="4" t="n"/>
      <c r="K140" s="4" t="inlineStr"/>
    </row>
    <row r="141">
      <c r="A141" s="4" t="inlineStr">
        <is>
          <t>A0A1V6SK38</t>
        </is>
      </c>
      <c r="B141" s="4" t="inlineStr">
        <is>
          <t>Penicillium flavigenum</t>
        </is>
      </c>
      <c r="C141" s="4" t="inlineStr">
        <is>
          <t>Chalcone synthase</t>
        </is>
      </c>
      <c r="D141" s="4" t="inlineStr">
        <is>
          <t>True</t>
        </is>
      </c>
      <c r="E141" s="4" t="inlineStr">
        <is>
          <t>CTCCNFFYLHNSP</t>
        </is>
      </c>
      <c r="F141" s="4" t="n">
        <v>6</v>
      </c>
      <c r="G141" s="4" t="inlineStr"/>
      <c r="H141" s="4" t="n"/>
      <c r="I141" s="4" t="n"/>
      <c r="J141" s="4" t="n"/>
      <c r="K141" s="4" t="inlineStr"/>
    </row>
    <row r="142">
      <c r="A142" s="4" t="inlineStr">
        <is>
          <t>A0A1V8TBN8</t>
        </is>
      </c>
      <c r="B142" s="4" t="inlineStr">
        <is>
          <t>Cryoendolithus antarcticus</t>
        </is>
      </c>
      <c r="C142" s="4" t="inlineStr">
        <is>
          <t>Chalcone synthase</t>
        </is>
      </c>
      <c r="D142" s="4" t="inlineStr">
        <is>
          <t>True</t>
        </is>
      </c>
      <c r="E142" s="4" t="inlineStr">
        <is>
          <t>CTCSLFCYLHNSP</t>
        </is>
      </c>
      <c r="F142" s="4" t="n">
        <v>6</v>
      </c>
      <c r="G142" s="4" t="inlineStr"/>
      <c r="H142" s="4" t="n"/>
      <c r="I142" s="4" t="n"/>
      <c r="J142" s="4" t="n"/>
      <c r="K142" s="4" t="inlineStr"/>
    </row>
    <row r="143">
      <c r="A143" s="4" t="inlineStr">
        <is>
          <t>A0A1W2TFI8</t>
        </is>
      </c>
      <c r="B143" s="4" t="inlineStr">
        <is>
          <t>Rosellinia necatrix</t>
        </is>
      </c>
      <c r="C143" s="4" t="inlineStr">
        <is>
          <t>Putative chalcone and stilbene synthase domain-containing protein</t>
        </is>
      </c>
      <c r="D143" s="4" t="inlineStr">
        <is>
          <t>True</t>
        </is>
      </c>
      <c r="E143" s="4" t="inlineStr">
        <is>
          <t>CTCSLFFDLHNSP</t>
        </is>
      </c>
      <c r="F143" s="4" t="n">
        <v>6</v>
      </c>
      <c r="G143" s="4" t="inlineStr"/>
      <c r="H143" s="4" t="n"/>
      <c r="I143" s="4" t="n"/>
      <c r="J143" s="4" t="n"/>
      <c r="K143" s="4" t="inlineStr"/>
    </row>
    <row r="144">
      <c r="A144" s="4" t="inlineStr">
        <is>
          <t>A0A1W5D8W5</t>
        </is>
      </c>
      <c r="B144" s="4" t="inlineStr">
        <is>
          <t>Lasallia pustulata</t>
        </is>
      </c>
      <c r="C144" s="4" t="inlineStr">
        <is>
          <t>Chalcone synthase</t>
        </is>
      </c>
      <c r="D144" s="4" t="inlineStr">
        <is>
          <t>True</t>
        </is>
      </c>
      <c r="E144" s="4" t="inlineStr">
        <is>
          <t>CTCSLFFDLHNSP</t>
        </is>
      </c>
      <c r="F144" s="4" t="n">
        <v>6</v>
      </c>
      <c r="G144" s="4" t="inlineStr"/>
      <c r="H144" s="4" t="n"/>
      <c r="I144" s="4" t="n"/>
      <c r="J144" s="4" t="n"/>
      <c r="K144" s="4" t="inlineStr"/>
    </row>
    <row r="145">
      <c r="A145" s="4" t="inlineStr">
        <is>
          <t>A0A1Y2DQG3</t>
        </is>
      </c>
      <c r="B145" s="4" t="inlineStr">
        <is>
          <t>Pseudomassariella vexata</t>
        </is>
      </c>
      <c r="C145" s="4" t="inlineStr">
        <is>
          <t>Chalcone and stilbene synthase domain-containing protein</t>
        </is>
      </c>
      <c r="D145" s="4" t="inlineStr">
        <is>
          <t>True</t>
        </is>
      </c>
      <c r="E145" s="4" t="inlineStr">
        <is>
          <t>CTCSMFFDLHNSP</t>
        </is>
      </c>
      <c r="F145" s="4" t="n">
        <v>6</v>
      </c>
      <c r="G145" s="4" t="inlineStr"/>
      <c r="H145" s="4" t="n"/>
      <c r="I145" s="4" t="n"/>
      <c r="J145" s="4" t="n"/>
      <c r="K145" s="4" t="inlineStr"/>
    </row>
    <row r="146">
      <c r="A146" s="4" t="inlineStr">
        <is>
          <t>A0A218ZF58</t>
        </is>
      </c>
      <c r="B146" s="4" t="inlineStr">
        <is>
          <t>Diplocarpon coronariae</t>
        </is>
      </c>
      <c r="C146" s="4" t="inlineStr">
        <is>
          <t>BcCHS1, chalcone synthase</t>
        </is>
      </c>
      <c r="D146" s="4" t="inlineStr">
        <is>
          <t>True</t>
        </is>
      </c>
      <c r="E146" s="4" t="inlineStr">
        <is>
          <t>CTCSLFFDLHNSP</t>
        </is>
      </c>
      <c r="F146" s="4" t="n">
        <v>6</v>
      </c>
      <c r="G146" s="4" t="inlineStr"/>
      <c r="H146" s="4" t="n"/>
      <c r="I146" s="4" t="n"/>
      <c r="J146" s="4" t="n"/>
      <c r="K146" s="4" t="inlineStr"/>
    </row>
    <row r="147">
      <c r="A147" s="4" t="inlineStr">
        <is>
          <t>A0A2B7WIN8</t>
        </is>
      </c>
      <c r="B147" s="4" t="inlineStr">
        <is>
          <t>Helicocarpus griseus UAMH5409</t>
        </is>
      </c>
      <c r="C147" s="4" t="inlineStr">
        <is>
          <t>Chalcone synthase</t>
        </is>
      </c>
      <c r="D147" s="4" t="inlineStr">
        <is>
          <t>True</t>
        </is>
      </c>
      <c r="E147" s="4" t="inlineStr">
        <is>
          <t>CTCNMFFNLHNSP</t>
        </is>
      </c>
      <c r="F147" s="4" t="n">
        <v>6</v>
      </c>
      <c r="G147" s="4" t="inlineStr"/>
      <c r="H147" s="4" t="n"/>
      <c r="I147" s="4" t="n"/>
      <c r="J147" s="4" t="n"/>
      <c r="K147" s="4" t="inlineStr"/>
    </row>
    <row r="148">
      <c r="A148" s="4" t="inlineStr">
        <is>
          <t>A0A2C5WIX6</t>
        </is>
      </c>
      <c r="B148" s="4" t="inlineStr">
        <is>
          <t>Ceratocystis fimbriata CBS 114723</t>
        </is>
      </c>
      <c r="C148" s="4" t="inlineStr">
        <is>
          <t>Type III polyketide synthase B</t>
        </is>
      </c>
      <c r="D148" s="4" t="inlineStr">
        <is>
          <t>True</t>
        </is>
      </c>
      <c r="E148" s="4" t="inlineStr">
        <is>
          <t>CTCSLFFDLHNSP</t>
        </is>
      </c>
      <c r="F148" s="4" t="n">
        <v>6</v>
      </c>
      <c r="G148" s="4" t="inlineStr"/>
      <c r="H148" s="4" t="n"/>
      <c r="I148" s="4" t="n"/>
      <c r="J148" s="4" t="n"/>
      <c r="K148" s="4" t="inlineStr"/>
    </row>
    <row r="149">
      <c r="A149" s="4" t="inlineStr">
        <is>
          <t>A0A2D3V4H2</t>
        </is>
      </c>
      <c r="B149" s="4" t="inlineStr">
        <is>
          <t>Ramularia collo-cygni</t>
        </is>
      </c>
      <c r="C149" s="4" t="inlineStr">
        <is>
          <t>Related to stilbene synthase 2</t>
        </is>
      </c>
      <c r="D149" s="4" t="inlineStr">
        <is>
          <t>True</t>
        </is>
      </c>
      <c r="E149" s="4" t="inlineStr">
        <is>
          <t>CTCCGFFYLHNSP</t>
        </is>
      </c>
      <c r="F149" s="4" t="n">
        <v>6</v>
      </c>
      <c r="G149" s="4" t="inlineStr"/>
      <c r="H149" s="4" t="n"/>
      <c r="I149" s="4" t="n"/>
      <c r="J149" s="4" t="n"/>
      <c r="K149" s="4" t="inlineStr"/>
    </row>
    <row r="150">
      <c r="A150" s="4" t="inlineStr">
        <is>
          <t>A0A2G7FEY6</t>
        </is>
      </c>
      <c r="B150" s="4" t="inlineStr">
        <is>
          <t>Aspergillus arachidicola</t>
        </is>
      </c>
      <c r="C150" s="4" t="inlineStr">
        <is>
          <t>Chalcone synthase</t>
        </is>
      </c>
      <c r="D150" s="4" t="inlineStr">
        <is>
          <t>True</t>
        </is>
      </c>
      <c r="E150" s="4" t="inlineStr">
        <is>
          <t>CTCMYF-CIHNSA</t>
        </is>
      </c>
      <c r="F150" s="4" t="n">
        <v>6</v>
      </c>
      <c r="G150" s="4" t="inlineStr"/>
      <c r="H150" s="4" t="n"/>
      <c r="I150" s="4" t="n"/>
      <c r="J150" s="4" t="n"/>
      <c r="K150" s="4" t="inlineStr"/>
    </row>
    <row r="151">
      <c r="A151" s="4" t="inlineStr">
        <is>
          <t>A0A2I2GDC6</t>
        </is>
      </c>
      <c r="B151" s="4" t="inlineStr">
        <is>
          <t>Aspergillus steynii IBT 23096</t>
        </is>
      </c>
      <c r="C151" s="4" t="inlineStr">
        <is>
          <t>Chalcone synthase B</t>
        </is>
      </c>
      <c r="D151" s="4" t="inlineStr">
        <is>
          <t>True</t>
        </is>
      </c>
      <c r="E151" s="4" t="inlineStr">
        <is>
          <t>ATCCQFYRLHNSP</t>
        </is>
      </c>
      <c r="F151" s="4" t="n">
        <v>6</v>
      </c>
      <c r="G151" s="4" t="inlineStr">
        <is>
          <t>AsesPKS</t>
        </is>
      </c>
      <c r="H151" s="4" t="n">
        <v>0.508</v>
      </c>
      <c r="I151" s="4" t="n">
        <v>0</v>
      </c>
      <c r="J151" s="4" t="n">
        <v>3</v>
      </c>
      <c r="K151" s="4" t="inlineStr">
        <is>
          <t>decanoyl-coa,hexanoyl-coa,myristoyl-coa</t>
        </is>
      </c>
    </row>
    <row r="152">
      <c r="A152" s="4" t="inlineStr">
        <is>
          <t>A0A2J6PXT4</t>
        </is>
      </c>
      <c r="B152" s="4" t="inlineStr">
        <is>
          <t>Hyaloscypha hepaticicola</t>
        </is>
      </c>
      <c r="C152" s="4" t="inlineStr">
        <is>
          <t>Thiolase-like protein</t>
        </is>
      </c>
      <c r="D152" s="4" t="inlineStr">
        <is>
          <t>True</t>
        </is>
      </c>
      <c r="E152" s="4" t="inlineStr">
        <is>
          <t>CTCSLFFDLHNSP</t>
        </is>
      </c>
      <c r="F152" s="4" t="n">
        <v>6</v>
      </c>
      <c r="G152" s="4" t="inlineStr"/>
      <c r="H152" s="4" t="n"/>
      <c r="I152" s="4" t="n"/>
      <c r="J152" s="4" t="n"/>
      <c r="K152" s="4" t="inlineStr"/>
    </row>
    <row r="153">
      <c r="A153" s="4" t="inlineStr">
        <is>
          <t>A0A2J6RAQ7</t>
        </is>
      </c>
      <c r="B153" s="4" t="inlineStr">
        <is>
          <t>Hyaloscypha variabilis (strain UAMH 11265 / GT02V1 / F)</t>
        </is>
      </c>
      <c r="C153" s="4" t="inlineStr">
        <is>
          <t>Thiolase-like protein</t>
        </is>
      </c>
      <c r="D153" s="4" t="inlineStr">
        <is>
          <t>True</t>
        </is>
      </c>
      <c r="E153" s="4" t="inlineStr">
        <is>
          <t>CTCSLFFDLHNSP</t>
        </is>
      </c>
      <c r="F153" s="4" t="n">
        <v>6</v>
      </c>
      <c r="G153" s="4" t="inlineStr"/>
      <c r="H153" s="4" t="n"/>
      <c r="I153" s="4" t="n"/>
      <c r="J153" s="4" t="n"/>
      <c r="K153" s="4" t="inlineStr"/>
    </row>
    <row r="154">
      <c r="A154" s="4" t="inlineStr">
        <is>
          <t>A0A2J6TQX3</t>
        </is>
      </c>
      <c r="B154" s="4" t="inlineStr">
        <is>
          <t>Hyaloscypha bicolor E</t>
        </is>
      </c>
      <c r="C154" s="4" t="inlineStr">
        <is>
          <t>Thiolase-like protein</t>
        </is>
      </c>
      <c r="D154" s="4" t="inlineStr">
        <is>
          <t>True</t>
        </is>
      </c>
      <c r="E154" s="4" t="inlineStr">
        <is>
          <t>CTCSLFFDLHNSP</t>
        </is>
      </c>
      <c r="F154" s="4" t="n">
        <v>6</v>
      </c>
      <c r="G154" s="4" t="inlineStr"/>
      <c r="H154" s="4" t="n"/>
      <c r="I154" s="4" t="n"/>
      <c r="J154" s="4" t="n"/>
      <c r="K154" s="4" t="inlineStr"/>
    </row>
    <row r="155">
      <c r="A155" s="4" t="inlineStr">
        <is>
          <t>A0A2K0UIX7</t>
        </is>
      </c>
      <c r="B155" s="4" t="inlineStr">
        <is>
          <t>Gibberella nygamai</t>
        </is>
      </c>
      <c r="C155" s="4" t="inlineStr">
        <is>
          <t>Chalcone/stilbene synthase N-terminal domain-containing protein</t>
        </is>
      </c>
      <c r="D155" s="4" t="inlineStr">
        <is>
          <t>True</t>
        </is>
      </c>
      <c r="E155" s="4" t="inlineStr">
        <is>
          <t>CTCSMFFDLHNSP</t>
        </is>
      </c>
      <c r="F155" s="4" t="n">
        <v>6</v>
      </c>
      <c r="G155" s="4" t="inlineStr"/>
      <c r="H155" s="4" t="n"/>
      <c r="I155" s="4" t="n"/>
      <c r="J155" s="4" t="n"/>
      <c r="K155" s="4" t="inlineStr"/>
    </row>
    <row r="156">
      <c r="A156" s="4" t="inlineStr">
        <is>
          <t>A0A2K1R1B1</t>
        </is>
      </c>
      <c r="B156" s="4" t="inlineStr">
        <is>
          <t>Sphaceloma murrayae</t>
        </is>
      </c>
      <c r="C156" s="4" t="inlineStr">
        <is>
          <t>Alpha-pyrone synthesis polyketide synthase-like Pks11</t>
        </is>
      </c>
      <c r="D156" s="4" t="inlineStr">
        <is>
          <t>True</t>
        </is>
      </c>
      <c r="E156" s="4" t="inlineStr">
        <is>
          <t>CTCCLFFFLHNSP</t>
        </is>
      </c>
      <c r="F156" s="4" t="n">
        <v>6</v>
      </c>
      <c r="G156" s="4" t="inlineStr"/>
      <c r="H156" s="4" t="n"/>
      <c r="I156" s="4" t="n"/>
      <c r="J156" s="4" t="n"/>
      <c r="K156" s="4" t="inlineStr"/>
    </row>
    <row r="157">
      <c r="A157" s="4" t="inlineStr">
        <is>
          <t>A0A2N3MY08</t>
        </is>
      </c>
      <c r="B157" s="4" t="inlineStr">
        <is>
          <t>Lomentospora prolificans</t>
        </is>
      </c>
      <c r="C157" s="4" t="inlineStr">
        <is>
          <t>Uncharacterized protein (Fragment)</t>
        </is>
      </c>
      <c r="D157" s="4" t="inlineStr">
        <is>
          <t>True</t>
        </is>
      </c>
      <c r="E157" s="4" t="inlineStr">
        <is>
          <t>CTCSMFFDLHNSP</t>
        </is>
      </c>
      <c r="F157" s="4" t="n">
        <v>6</v>
      </c>
      <c r="G157" s="4" t="inlineStr"/>
      <c r="H157" s="4" t="n"/>
      <c r="I157" s="4" t="n"/>
      <c r="J157" s="4" t="n"/>
      <c r="K157" s="4" t="inlineStr"/>
    </row>
    <row r="158">
      <c r="A158" s="4" t="inlineStr">
        <is>
          <t>A0A2P5HE53</t>
        </is>
      </c>
      <c r="B158" s="4" t="inlineStr">
        <is>
          <t>Diaporthe helianthi</t>
        </is>
      </c>
      <c r="C158" s="4" t="inlineStr">
        <is>
          <t>Chalcone synthase</t>
        </is>
      </c>
      <c r="D158" s="4" t="inlineStr">
        <is>
          <t>True</t>
        </is>
      </c>
      <c r="E158" s="4" t="inlineStr">
        <is>
          <t>SGCNYFAMIHNGP</t>
        </is>
      </c>
      <c r="F158" s="4" t="n">
        <v>6</v>
      </c>
      <c r="G158" s="4" t="inlineStr"/>
      <c r="H158" s="4" t="n"/>
      <c r="I158" s="4" t="n"/>
      <c r="J158" s="4" t="n"/>
      <c r="K158" s="4" t="inlineStr"/>
    </row>
    <row r="159">
      <c r="A159" s="4" t="inlineStr">
        <is>
          <t>A0A2R6NM78</t>
        </is>
      </c>
      <c r="B159" s="4" t="inlineStr">
        <is>
          <t>Hermanssonia centrifuga</t>
        </is>
      </c>
      <c r="C159" s="4" t="inlineStr">
        <is>
          <t>Chalcone synthase</t>
        </is>
      </c>
      <c r="D159" s="4" t="inlineStr">
        <is>
          <t>True</t>
        </is>
      </c>
      <c r="E159" s="4" t="inlineStr">
        <is>
          <t>CTCAMFFDLHNSP</t>
        </is>
      </c>
      <c r="F159" s="4" t="n">
        <v>6</v>
      </c>
      <c r="G159" s="4" t="inlineStr"/>
      <c r="H159" s="4" t="n"/>
      <c r="I159" s="4" t="n"/>
      <c r="J159" s="4" t="n"/>
      <c r="K159" s="4" t="inlineStr"/>
    </row>
    <row r="160">
      <c r="A160" s="4" t="inlineStr">
        <is>
          <t>A0A2S4PKR4</t>
        </is>
      </c>
      <c r="B160" s="4" t="inlineStr">
        <is>
          <t>Erysiphe pulchra</t>
        </is>
      </c>
      <c r="C160" s="4" t="inlineStr">
        <is>
          <t>Thiolase-like protein (Fragment)</t>
        </is>
      </c>
      <c r="D160" s="4" t="inlineStr">
        <is>
          <t>True</t>
        </is>
      </c>
      <c r="E160" s="4" t="inlineStr">
        <is>
          <t>CTCCMFFDLHNSP</t>
        </is>
      </c>
      <c r="F160" s="4" t="n">
        <v>6</v>
      </c>
      <c r="G160" s="4" t="inlineStr"/>
      <c r="H160" s="4" t="n"/>
      <c r="I160" s="4" t="n"/>
      <c r="J160" s="4" t="n"/>
      <c r="K160" s="4" t="inlineStr"/>
    </row>
    <row r="161">
      <c r="A161" s="4" t="inlineStr">
        <is>
          <t>A0A2T2NYA2</t>
        </is>
      </c>
      <c r="B161" s="4" t="inlineStr">
        <is>
          <t>Corynespora cassiicola Philippines</t>
        </is>
      </c>
      <c r="C161" s="4" t="inlineStr">
        <is>
          <t>Thiolase-like protein</t>
        </is>
      </c>
      <c r="D161" s="4" t="inlineStr">
        <is>
          <t>True</t>
        </is>
      </c>
      <c r="E161" s="4" t="inlineStr">
        <is>
          <t>CTCCFFFALHNSP</t>
        </is>
      </c>
      <c r="F161" s="4" t="n">
        <v>6</v>
      </c>
      <c r="G161" s="4" t="inlineStr"/>
      <c r="H161" s="4" t="n"/>
      <c r="I161" s="4" t="n"/>
      <c r="J161" s="4" t="n"/>
      <c r="K161" s="4" t="inlineStr"/>
    </row>
    <row r="162">
      <c r="A162" s="4" t="inlineStr">
        <is>
          <t>A0A2T3AM58</t>
        </is>
      </c>
      <c r="B162" s="4" t="inlineStr">
        <is>
          <t>Coniella lustricola</t>
        </is>
      </c>
      <c r="C162" s="4" t="inlineStr">
        <is>
          <t>Thiolase-like protein</t>
        </is>
      </c>
      <c r="D162" s="4" t="inlineStr">
        <is>
          <t>True</t>
        </is>
      </c>
      <c r="E162" s="4" t="inlineStr">
        <is>
          <t>CTCSFFFDLHNSP</t>
        </is>
      </c>
      <c r="F162" s="4" t="n">
        <v>6</v>
      </c>
      <c r="G162" s="4" t="inlineStr"/>
      <c r="H162" s="4" t="n"/>
      <c r="I162" s="4" t="n"/>
      <c r="J162" s="4" t="n"/>
      <c r="K162" s="4" t="inlineStr"/>
    </row>
    <row r="163">
      <c r="A163" s="4" t="inlineStr">
        <is>
          <t>A0A2T3B5Z1</t>
        </is>
      </c>
      <c r="B163" s="4" t="inlineStr">
        <is>
          <t>Amorphotheca resinae ATCC 22711</t>
        </is>
      </c>
      <c r="C163" s="4" t="inlineStr">
        <is>
          <t>Uncharacterized protein</t>
        </is>
      </c>
      <c r="D163" s="4" t="inlineStr">
        <is>
          <t>True</t>
        </is>
      </c>
      <c r="E163" s="4" t="inlineStr">
        <is>
          <t>CTCSLFFDLHNSP</t>
        </is>
      </c>
      <c r="F163" s="4" t="n">
        <v>6</v>
      </c>
      <c r="G163" s="4" t="inlineStr"/>
      <c r="H163" s="4" t="n"/>
      <c r="I163" s="4" t="n"/>
      <c r="J163" s="4" t="n"/>
      <c r="K163" s="4" t="inlineStr"/>
    </row>
    <row r="164">
      <c r="A164" s="4" t="inlineStr">
        <is>
          <t>A0A2T4GKI4</t>
        </is>
      </c>
      <c r="B164" s="4" t="inlineStr">
        <is>
          <t>Fusarium culmorum</t>
        </is>
      </c>
      <c r="C164" s="4" t="inlineStr">
        <is>
          <t>Chalcone synthase</t>
        </is>
      </c>
      <c r="D164" s="4" t="inlineStr">
        <is>
          <t>True</t>
        </is>
      </c>
      <c r="E164" s="4" t="inlineStr">
        <is>
          <t>CTCSLFFDLHNSP</t>
        </is>
      </c>
      <c r="F164" s="4" t="n">
        <v>6</v>
      </c>
      <c r="G164" s="4" t="inlineStr"/>
      <c r="H164" s="4" t="n"/>
      <c r="I164" s="4" t="n"/>
      <c r="J164" s="4" t="n"/>
      <c r="K164" s="4" t="inlineStr"/>
    </row>
    <row r="165">
      <c r="A165" s="4" t="inlineStr">
        <is>
          <t>A0A2U9QI99</t>
        </is>
      </c>
      <c r="B165" s="4" t="inlineStr">
        <is>
          <t>Nephromopsis pallescens</t>
        </is>
      </c>
      <c r="C165" s="4" t="inlineStr">
        <is>
          <t>Polyketide synthase type III</t>
        </is>
      </c>
      <c r="D165" s="4" t="inlineStr">
        <is>
          <t>True</t>
        </is>
      </c>
      <c r="E165" s="4" t="inlineStr">
        <is>
          <t>CTCCNFFMLHNSP</t>
        </is>
      </c>
      <c r="F165" s="4" t="n">
        <v>6</v>
      </c>
      <c r="G165" s="4" t="inlineStr"/>
      <c r="H165" s="4" t="n"/>
      <c r="I165" s="4" t="n"/>
      <c r="J165" s="4" t="n"/>
      <c r="K165" s="4" t="inlineStr"/>
    </row>
    <row r="166">
      <c r="A166" s="4" t="inlineStr">
        <is>
          <t>A0A2V5HK67</t>
        </is>
      </c>
      <c r="B166" s="4" t="inlineStr">
        <is>
          <t>Aspergillus indologenus CBS 114.80</t>
        </is>
      </c>
      <c r="C166" s="4" t="inlineStr">
        <is>
          <t>Thiolase-like protein (Fragment)</t>
        </is>
      </c>
      <c r="D166" s="4" t="inlineStr">
        <is>
          <t>True</t>
        </is>
      </c>
      <c r="E166" s="4" t="inlineStr">
        <is>
          <t>VTCCHFYRLHNSP</t>
        </is>
      </c>
      <c r="F166" s="4" t="n">
        <v>6</v>
      </c>
      <c r="G166" s="4" t="inlineStr"/>
      <c r="H166" s="4" t="n"/>
      <c r="I166" s="4" t="n"/>
      <c r="J166" s="4" t="n"/>
      <c r="K166" s="4" t="inlineStr"/>
    </row>
    <row r="167">
      <c r="A167" s="4" t="inlineStr">
        <is>
          <t>A0A319C6Z2</t>
        </is>
      </c>
      <c r="B167" s="4" t="inlineStr">
        <is>
          <t>Aspergillus uvarum CBS 121591</t>
        </is>
      </c>
      <c r="C167" s="4" t="inlineStr">
        <is>
          <t>Thiolase-like protein</t>
        </is>
      </c>
      <c r="D167" s="4" t="inlineStr">
        <is>
          <t>True</t>
        </is>
      </c>
      <c r="E167" s="4" t="inlineStr">
        <is>
          <t>VTCCHFYRLHNSP</t>
        </is>
      </c>
      <c r="F167" s="4" t="n">
        <v>6</v>
      </c>
      <c r="G167" s="4" t="inlineStr"/>
      <c r="H167" s="4" t="n"/>
      <c r="I167" s="4" t="n"/>
      <c r="J167" s="4" t="n"/>
      <c r="K167" s="4" t="inlineStr"/>
    </row>
    <row r="168">
      <c r="A168" s="4" t="inlineStr">
        <is>
          <t>A0A366SC95</t>
        </is>
      </c>
      <c r="B168" s="4" t="inlineStr">
        <is>
          <t>Fusarium coffeatum</t>
        </is>
      </c>
      <c r="C168" s="4" t="inlineStr">
        <is>
          <t>Chalcone/stilbene synthase N-terminal domain-containing protein</t>
        </is>
      </c>
      <c r="D168" s="4" t="inlineStr">
        <is>
          <t>True</t>
        </is>
      </c>
      <c r="E168" s="4" t="inlineStr">
        <is>
          <t>CTCSMFFDLHNSP</t>
        </is>
      </c>
      <c r="F168" s="4" t="n">
        <v>6</v>
      </c>
      <c r="G168" s="4" t="inlineStr"/>
      <c r="H168" s="4" t="n"/>
      <c r="I168" s="4" t="n"/>
      <c r="J168" s="4" t="n"/>
      <c r="K168" s="4" t="inlineStr"/>
    </row>
    <row r="169">
      <c r="A169" s="4" t="inlineStr">
        <is>
          <t>A0A370TNA4</t>
        </is>
      </c>
      <c r="B169" s="4" t="inlineStr">
        <is>
          <t>Venustampulla echinocandica</t>
        </is>
      </c>
      <c r="C169" s="4" t="inlineStr">
        <is>
          <t>Thiolase-like protein</t>
        </is>
      </c>
      <c r="D169" s="4" t="inlineStr">
        <is>
          <t>True</t>
        </is>
      </c>
      <c r="E169" s="4" t="inlineStr">
        <is>
          <t>CTCSLFFDLHNSP</t>
        </is>
      </c>
      <c r="F169" s="4" t="n">
        <v>6</v>
      </c>
      <c r="G169" s="4" t="inlineStr"/>
      <c r="H169" s="4" t="n"/>
      <c r="I169" s="4" t="n"/>
      <c r="J169" s="4" t="n"/>
      <c r="K169" s="4" t="inlineStr"/>
    </row>
    <row r="170">
      <c r="A170" s="4" t="inlineStr">
        <is>
          <t>A0A384K0M6</t>
        </is>
      </c>
      <c r="B170" s="4" t="inlineStr">
        <is>
          <t>Botrytis cinerea (strain B05.10)</t>
        </is>
      </c>
      <c r="C170" s="4" t="inlineStr">
        <is>
          <t>Bcchs1</t>
        </is>
      </c>
      <c r="D170" s="4" t="inlineStr">
        <is>
          <t>True</t>
        </is>
      </c>
      <c r="E170" s="4" t="inlineStr">
        <is>
          <t>CTCSLFFDLHNSP</t>
        </is>
      </c>
      <c r="F170" s="4" t="n">
        <v>6</v>
      </c>
      <c r="G170" s="4" t="inlineStr"/>
      <c r="H170" s="4" t="n"/>
      <c r="I170" s="4" t="n"/>
      <c r="J170" s="4" t="n"/>
      <c r="K170" s="4" t="inlineStr"/>
    </row>
    <row r="171">
      <c r="A171" s="4" t="inlineStr">
        <is>
          <t>A0A395HWD7</t>
        </is>
      </c>
      <c r="B171" s="4" t="inlineStr">
        <is>
          <t>Aspergillus homomorphus (strain CBS 101889)</t>
        </is>
      </c>
      <c r="C171" s="4" t="inlineStr">
        <is>
          <t>Thiolase-like protein</t>
        </is>
      </c>
      <c r="D171" s="4" t="inlineStr">
        <is>
          <t>True</t>
        </is>
      </c>
      <c r="E171" s="4" t="inlineStr">
        <is>
          <t>VTCCFFYGLHNSP</t>
        </is>
      </c>
      <c r="F171" s="4" t="n">
        <v>6</v>
      </c>
      <c r="G171" s="4" t="inlineStr"/>
      <c r="H171" s="4" t="n"/>
      <c r="I171" s="4" t="n"/>
      <c r="J171" s="4" t="n"/>
      <c r="K171" s="4" t="inlineStr"/>
    </row>
    <row r="172">
      <c r="A172" s="4" t="inlineStr">
        <is>
          <t>A0A395SZF4</t>
        </is>
      </c>
      <c r="B172" s="4" t="inlineStr">
        <is>
          <t>Fusarium longipes</t>
        </is>
      </c>
      <c r="C172" s="4" t="inlineStr">
        <is>
          <t>Stilbene synthase 3</t>
        </is>
      </c>
      <c r="D172" s="4" t="inlineStr">
        <is>
          <t>True</t>
        </is>
      </c>
      <c r="E172" s="4" t="inlineStr">
        <is>
          <t>CTCSLFFDLHNSP</t>
        </is>
      </c>
      <c r="F172" s="4" t="n">
        <v>6</v>
      </c>
      <c r="G172" s="4" t="inlineStr"/>
      <c r="H172" s="4" t="n"/>
      <c r="I172" s="4" t="n"/>
      <c r="J172" s="4" t="n"/>
      <c r="K172" s="4" t="inlineStr"/>
    </row>
    <row r="173">
      <c r="A173" s="4" t="inlineStr">
        <is>
          <t>A0A3D8RMV4</t>
        </is>
      </c>
      <c r="B173" s="4" t="inlineStr">
        <is>
          <t>Coleophoma cylindrospora</t>
        </is>
      </c>
      <c r="C173" s="4" t="inlineStr">
        <is>
          <t>Thiolase-like protein</t>
        </is>
      </c>
      <c r="D173" s="4" t="inlineStr">
        <is>
          <t>True</t>
        </is>
      </c>
      <c r="E173" s="4" t="inlineStr">
        <is>
          <t>CTCSMFFDLHNSP</t>
        </is>
      </c>
      <c r="F173" s="4" t="n">
        <v>6</v>
      </c>
      <c r="G173" s="4" t="inlineStr"/>
      <c r="H173" s="4" t="n"/>
      <c r="I173" s="4" t="n"/>
      <c r="J173" s="4" t="n"/>
      <c r="K173" s="4" t="inlineStr"/>
    </row>
    <row r="174">
      <c r="A174" s="4" t="inlineStr">
        <is>
          <t>A0A3E2H9W8</t>
        </is>
      </c>
      <c r="B174" s="4" t="inlineStr">
        <is>
          <t>Scytalidium lignicola</t>
        </is>
      </c>
      <c r="C174" s="4" t="inlineStr">
        <is>
          <t>Chalcone synthase (Fragment)</t>
        </is>
      </c>
      <c r="D174" s="4" t="inlineStr">
        <is>
          <t>True</t>
        </is>
      </c>
      <c r="E174" s="4" t="inlineStr">
        <is>
          <t>CTCCLFFDLHNSP</t>
        </is>
      </c>
      <c r="F174" s="4" t="n">
        <v>6</v>
      </c>
      <c r="G174" s="4" t="inlineStr"/>
      <c r="H174" s="4" t="n"/>
      <c r="I174" s="4" t="n"/>
      <c r="J174" s="4" t="n"/>
      <c r="K174" s="4" t="inlineStr"/>
    </row>
    <row r="175">
      <c r="A175" s="4" t="inlineStr">
        <is>
          <t>A0A3M2RTF6</t>
        </is>
      </c>
      <c r="B175" s="4" t="inlineStr">
        <is>
          <t>Fusarium kuroshium</t>
        </is>
      </c>
      <c r="C175" s="4" t="inlineStr">
        <is>
          <t>Uncharacterized protein</t>
        </is>
      </c>
      <c r="D175" s="4" t="inlineStr">
        <is>
          <t>True</t>
        </is>
      </c>
      <c r="E175" s="4" t="inlineStr">
        <is>
          <t>CTCSMFFDLHNSP</t>
        </is>
      </c>
      <c r="F175" s="4" t="n">
        <v>6</v>
      </c>
      <c r="G175" s="4" t="inlineStr"/>
      <c r="H175" s="4" t="n"/>
      <c r="I175" s="4" t="n"/>
      <c r="J175" s="4" t="n"/>
      <c r="K175" s="4" t="inlineStr"/>
    </row>
    <row r="176">
      <c r="A176" s="4" t="inlineStr">
        <is>
          <t>A0A3M9Y6T3</t>
        </is>
      </c>
      <c r="B176" s="4" t="inlineStr">
        <is>
          <t>Verticillium nonalfalfae</t>
        </is>
      </c>
      <c r="C176" s="4" t="inlineStr">
        <is>
          <t>T3pks protein</t>
        </is>
      </c>
      <c r="D176" s="4" t="inlineStr">
        <is>
          <t>True</t>
        </is>
      </c>
      <c r="E176" s="4" t="inlineStr">
        <is>
          <t>CTCSMFFDLHNSP</t>
        </is>
      </c>
      <c r="F176" s="4" t="n">
        <v>6</v>
      </c>
      <c r="G176" s="4" t="inlineStr"/>
      <c r="H176" s="4" t="n"/>
      <c r="I176" s="4" t="n"/>
      <c r="J176" s="4" t="n"/>
      <c r="K176" s="4" t="inlineStr"/>
    </row>
    <row r="177">
      <c r="A177" s="4" t="inlineStr">
        <is>
          <t>A0A3N2Q6W8</t>
        </is>
      </c>
      <c r="B177" s="4" t="inlineStr">
        <is>
          <t>Sodiomyces alkalinus (strain CBS 110278 / VKM F-3762 / F11)</t>
        </is>
      </c>
      <c r="C177" s="4" t="inlineStr">
        <is>
          <t>Thiolase-like protein</t>
        </is>
      </c>
      <c r="D177" s="4" t="inlineStr">
        <is>
          <t>True</t>
        </is>
      </c>
      <c r="E177" s="4" t="inlineStr">
        <is>
          <t>CTCCLFFDLHNSP</t>
        </is>
      </c>
      <c r="F177" s="4" t="n">
        <v>6</v>
      </c>
      <c r="G177" s="4" t="inlineStr"/>
      <c r="H177" s="4" t="n"/>
      <c r="I177" s="4" t="n"/>
      <c r="J177" s="4" t="n"/>
      <c r="K177" s="4" t="inlineStr"/>
    </row>
    <row r="178">
      <c r="A178" s="4" t="inlineStr">
        <is>
          <t>A0A3N4IBC5</t>
        </is>
      </c>
      <c r="B178" s="4" t="inlineStr">
        <is>
          <t>Ascobolus immersus RN42</t>
        </is>
      </c>
      <c r="C178" s="4" t="inlineStr">
        <is>
          <t>Thiolase-like protein</t>
        </is>
      </c>
      <c r="D178" s="4" t="inlineStr">
        <is>
          <t>True</t>
        </is>
      </c>
      <c r="E178" s="4" t="inlineStr">
        <is>
          <t>VTCCTFWDLHNSP</t>
        </is>
      </c>
      <c r="F178" s="4" t="n">
        <v>6</v>
      </c>
      <c r="G178" s="4" t="inlineStr"/>
      <c r="H178" s="4" t="n"/>
      <c r="I178" s="4" t="n"/>
      <c r="J178" s="4" t="n"/>
      <c r="K178" s="4" t="inlineStr"/>
    </row>
    <row r="179">
      <c r="A179" s="4" t="inlineStr">
        <is>
          <t>A0A420HA84</t>
        </is>
      </c>
      <c r="B179" s="4" t="inlineStr">
        <is>
          <t>Erysiphe neolycopersici</t>
        </is>
      </c>
      <c r="C179" s="4" t="inlineStr">
        <is>
          <t>Chalcone synthase A</t>
        </is>
      </c>
      <c r="D179" s="4" t="inlineStr">
        <is>
          <t>True</t>
        </is>
      </c>
      <c r="E179" s="4" t="inlineStr">
        <is>
          <t>CTCCMFFDLHNSP</t>
        </is>
      </c>
      <c r="F179" s="4" t="n">
        <v>6</v>
      </c>
      <c r="G179" s="4" t="inlineStr"/>
      <c r="H179" s="4" t="n"/>
      <c r="I179" s="4" t="n"/>
      <c r="J179" s="4" t="n"/>
      <c r="K179" s="4" t="inlineStr"/>
    </row>
    <row r="180">
      <c r="A180" s="4" t="inlineStr">
        <is>
          <t>A0A420IPA2</t>
        </is>
      </c>
      <c r="B180" s="4" t="inlineStr">
        <is>
          <t>Golovinomyces cichoracearum</t>
        </is>
      </c>
      <c r="C180" s="4" t="inlineStr">
        <is>
          <t>Chalcone synthase 2</t>
        </is>
      </c>
      <c r="D180" s="4" t="inlineStr">
        <is>
          <t>True</t>
        </is>
      </c>
      <c r="E180" s="4" t="inlineStr">
        <is>
          <t>CTCCLFFDLHNSP</t>
        </is>
      </c>
      <c r="F180" s="4" t="n">
        <v>6</v>
      </c>
      <c r="G180" s="4" t="inlineStr"/>
      <c r="H180" s="4" t="n"/>
      <c r="I180" s="4" t="n"/>
      <c r="J180" s="4" t="n"/>
      <c r="K180" s="4" t="inlineStr"/>
    </row>
    <row r="181">
      <c r="A181" s="4" t="inlineStr">
        <is>
          <t>A0A423WJ97</t>
        </is>
      </c>
      <c r="B181" s="4" t="inlineStr">
        <is>
          <t>Cytospora chrysosperma</t>
        </is>
      </c>
      <c r="C181" s="4" t="inlineStr">
        <is>
          <t>Chalcone/stilbene synthase N-terminal domain-containing protein</t>
        </is>
      </c>
      <c r="D181" s="4" t="inlineStr">
        <is>
          <t>True</t>
        </is>
      </c>
      <c r="E181" s="4" t="inlineStr">
        <is>
          <t>CTCSMFFDLHNSP</t>
        </is>
      </c>
      <c r="F181" s="4" t="n">
        <v>6</v>
      </c>
      <c r="G181" s="4" t="inlineStr"/>
      <c r="H181" s="4" t="n"/>
      <c r="I181" s="4" t="n"/>
      <c r="J181" s="4" t="n"/>
      <c r="K181" s="4" t="inlineStr"/>
    </row>
    <row r="182">
      <c r="A182" s="4" t="inlineStr">
        <is>
          <t>A0A423WY23</t>
        </is>
      </c>
      <c r="B182" s="4" t="inlineStr">
        <is>
          <t>Cytospora schulzeri</t>
        </is>
      </c>
      <c r="C182" s="4" t="inlineStr">
        <is>
          <t>Uncharacterized protein</t>
        </is>
      </c>
      <c r="D182" s="4" t="inlineStr">
        <is>
          <t>True</t>
        </is>
      </c>
      <c r="E182" s="4" t="inlineStr">
        <is>
          <t>CTCSMFFDLHNSP</t>
        </is>
      </c>
      <c r="F182" s="4" t="n">
        <v>6</v>
      </c>
      <c r="G182" s="4" t="inlineStr"/>
      <c r="H182" s="4" t="n"/>
      <c r="I182" s="4" t="n"/>
      <c r="J182" s="4" t="n"/>
      <c r="K182" s="4" t="inlineStr"/>
    </row>
    <row r="183">
      <c r="A183" s="4" t="inlineStr">
        <is>
          <t>A0A423XC84</t>
        </is>
      </c>
      <c r="B183" s="4" t="inlineStr">
        <is>
          <t>Cytospora leucostoma</t>
        </is>
      </c>
      <c r="C183" s="4" t="inlineStr">
        <is>
          <t>Chalcone synthase</t>
        </is>
      </c>
      <c r="D183" s="4" t="inlineStr">
        <is>
          <t>True</t>
        </is>
      </c>
      <c r="E183" s="4" t="inlineStr">
        <is>
          <t>CTCSMFFDLHNSP</t>
        </is>
      </c>
      <c r="F183" s="4" t="n">
        <v>6</v>
      </c>
      <c r="G183" s="4" t="inlineStr"/>
      <c r="H183" s="4" t="n"/>
      <c r="I183" s="4" t="n"/>
      <c r="J183" s="4" t="n"/>
      <c r="K183" s="4" t="inlineStr"/>
    </row>
    <row r="184">
      <c r="A184" s="4" t="inlineStr">
        <is>
          <t>A0A4Q4TJU1</t>
        </is>
      </c>
      <c r="B184" s="4" t="inlineStr">
        <is>
          <t>Monosporascus ibericus</t>
        </is>
      </c>
      <c r="C184" s="4" t="inlineStr">
        <is>
          <t>Chalcone synthase</t>
        </is>
      </c>
      <c r="D184" s="4" t="inlineStr">
        <is>
          <t>True</t>
        </is>
      </c>
      <c r="E184" s="4" t="inlineStr">
        <is>
          <t>CTCSLFFDLHNSP</t>
        </is>
      </c>
      <c r="F184" s="4" t="n">
        <v>6</v>
      </c>
      <c r="G184" s="4" t="inlineStr"/>
      <c r="H184" s="4" t="n"/>
      <c r="I184" s="4" t="n"/>
      <c r="J184" s="4" t="n"/>
      <c r="K184" s="4" t="inlineStr"/>
    </row>
    <row r="185">
      <c r="A185" s="4" t="inlineStr">
        <is>
          <t>A0A4R8QT34</t>
        </is>
      </c>
      <c r="B185" s="4" t="inlineStr">
        <is>
          <t>Colletotrichum trifolii</t>
        </is>
      </c>
      <c r="C185" s="4" t="inlineStr">
        <is>
          <t>Stilbene synthase 3</t>
        </is>
      </c>
      <c r="D185" s="4" t="inlineStr">
        <is>
          <t>True</t>
        </is>
      </c>
      <c r="E185" s="4" t="inlineStr">
        <is>
          <t>CTCSLFFDLHNSP</t>
        </is>
      </c>
      <c r="F185" s="4" t="n">
        <v>6</v>
      </c>
      <c r="G185" s="4" t="inlineStr"/>
      <c r="H185" s="4" t="n"/>
      <c r="I185" s="4" t="n"/>
      <c r="J185" s="4" t="n"/>
      <c r="K185" s="4" t="inlineStr"/>
    </row>
    <row r="186">
      <c r="A186" s="4" t="inlineStr">
        <is>
          <t>A0A4S3J2Q2</t>
        </is>
      </c>
      <c r="B186" s="4" t="inlineStr">
        <is>
          <t>Aspergillus tanneri</t>
        </is>
      </c>
      <c r="C186" s="4" t="inlineStr">
        <is>
          <t>Chalcone/stilbene synthase N-terminal domain-containing protein</t>
        </is>
      </c>
      <c r="D186" s="4" t="inlineStr">
        <is>
          <t>True</t>
        </is>
      </c>
      <c r="E186" s="4" t="inlineStr">
        <is>
          <t>CSC-----IHNGP</t>
        </is>
      </c>
      <c r="F186" s="4" t="n">
        <v>6</v>
      </c>
      <c r="G186" s="4" t="inlineStr"/>
      <c r="H186" s="4" t="n"/>
      <c r="I186" s="4" t="n"/>
      <c r="J186" s="4" t="n"/>
      <c r="K186" s="4" t="inlineStr"/>
    </row>
    <row r="187">
      <c r="A187" s="4" t="inlineStr">
        <is>
          <t>A0A4S8R6B1</t>
        </is>
      </c>
      <c r="B187" s="4" t="inlineStr">
        <is>
          <t>Botrytis galanthina</t>
        </is>
      </c>
      <c r="C187" s="4" t="inlineStr">
        <is>
          <t>Chalcone/stilbene synthase N-terminal domain-containing protein</t>
        </is>
      </c>
      <c r="D187" s="4" t="inlineStr">
        <is>
          <t>True</t>
        </is>
      </c>
      <c r="E187" s="4" t="inlineStr">
        <is>
          <t>CTCSLFFDLHNSP</t>
        </is>
      </c>
      <c r="F187" s="4" t="n">
        <v>6</v>
      </c>
      <c r="G187" s="4" t="inlineStr"/>
      <c r="H187" s="4" t="n"/>
      <c r="I187" s="4" t="n"/>
      <c r="J187" s="4" t="n"/>
      <c r="K187" s="4" t="inlineStr"/>
    </row>
    <row r="188">
      <c r="A188" s="4" t="inlineStr">
        <is>
          <t>A0A4U6XPJ8</t>
        </is>
      </c>
      <c r="B188" s="4" t="inlineStr">
        <is>
          <t>Colletotrichum tanaceti</t>
        </is>
      </c>
      <c r="C188" s="4" t="inlineStr">
        <is>
          <t>Phenylpropanoylacetyl-CoA synthase</t>
        </is>
      </c>
      <c r="D188" s="4" t="inlineStr">
        <is>
          <t>True</t>
        </is>
      </c>
      <c r="E188" s="4" t="inlineStr">
        <is>
          <t>CTCCNFFYLHNSP</t>
        </is>
      </c>
      <c r="F188" s="4" t="n">
        <v>6</v>
      </c>
      <c r="G188" s="4" t="inlineStr"/>
      <c r="H188" s="4" t="n"/>
      <c r="I188" s="4" t="n"/>
      <c r="J188" s="4" t="n"/>
      <c r="K188" s="4" t="inlineStr"/>
    </row>
    <row r="189">
      <c r="A189" s="4" t="inlineStr">
        <is>
          <t>A0A4U6XPR0</t>
        </is>
      </c>
      <c r="B189" s="4" t="inlineStr">
        <is>
          <t>Colletotrichum tanaceti</t>
        </is>
      </c>
      <c r="C189" s="4" t="inlineStr">
        <is>
          <t>Chalcone synthase</t>
        </is>
      </c>
      <c r="D189" s="4" t="inlineStr">
        <is>
          <t>True</t>
        </is>
      </c>
      <c r="E189" s="4" t="inlineStr">
        <is>
          <t>CTCSLFFDLHNSP</t>
        </is>
      </c>
      <c r="F189" s="4" t="n">
        <v>6</v>
      </c>
      <c r="G189" s="4" t="inlineStr"/>
      <c r="H189" s="4" t="n"/>
      <c r="I189" s="4" t="n"/>
      <c r="J189" s="4" t="n"/>
      <c r="K189" s="4" t="inlineStr"/>
    </row>
    <row r="190">
      <c r="A190" s="4" t="inlineStr">
        <is>
          <t>A0A4V3UMX3</t>
        </is>
      </c>
      <c r="B190" s="4" t="inlineStr">
        <is>
          <t>Aspergillus tanneri</t>
        </is>
      </c>
      <c r="C190" s="4" t="inlineStr">
        <is>
          <t>Type III Polyketide synthases (Type III PKS)</t>
        </is>
      </c>
      <c r="D190" s="4" t="inlineStr">
        <is>
          <t>True</t>
        </is>
      </c>
      <c r="E190" s="4" t="inlineStr">
        <is>
          <t>CTCHLFLNVHNSP</t>
        </is>
      </c>
      <c r="F190" s="4" t="n">
        <v>6</v>
      </c>
      <c r="G190" s="4" t="inlineStr"/>
      <c r="H190" s="4" t="n"/>
      <c r="I190" s="4" t="n"/>
      <c r="J190" s="4" t="n"/>
      <c r="K190" s="4" t="inlineStr"/>
    </row>
    <row r="191">
      <c r="A191" s="4" t="inlineStr">
        <is>
          <t>A0A4Y8D9M4</t>
        </is>
      </c>
      <c r="B191" s="4" t="inlineStr">
        <is>
          <t>Botryotinia calthae</t>
        </is>
      </c>
      <c r="C191" s="4" t="inlineStr">
        <is>
          <t>Thiolase-like protein</t>
        </is>
      </c>
      <c r="D191" s="4" t="inlineStr">
        <is>
          <t>True</t>
        </is>
      </c>
      <c r="E191" s="4" t="inlineStr">
        <is>
          <t>CTCSLFFDLHNSP</t>
        </is>
      </c>
      <c r="F191" s="4" t="n">
        <v>6</v>
      </c>
      <c r="G191" s="4" t="inlineStr"/>
      <c r="H191" s="4" t="n"/>
      <c r="I191" s="4" t="n"/>
      <c r="J191" s="4" t="n"/>
      <c r="K191" s="4" t="inlineStr"/>
    </row>
    <row r="192">
      <c r="A192" s="4" t="inlineStr">
        <is>
          <t>A0A4Z0YMS4</t>
        </is>
      </c>
      <c r="B192" s="4" t="inlineStr">
        <is>
          <t>Xylaria hypoxylon</t>
        </is>
      </c>
      <c r="C192" s="4" t="inlineStr">
        <is>
          <t>Chalcone synthase</t>
        </is>
      </c>
      <c r="D192" s="4" t="inlineStr">
        <is>
          <t>True</t>
        </is>
      </c>
      <c r="E192" s="4" t="inlineStr">
        <is>
          <t>CTCSLFFDLHNSP</t>
        </is>
      </c>
      <c r="F192" s="4" t="n">
        <v>6</v>
      </c>
      <c r="G192" s="4" t="inlineStr"/>
      <c r="H192" s="4" t="n"/>
      <c r="I192" s="4" t="n"/>
      <c r="J192" s="4" t="n"/>
      <c r="K192" s="4" t="inlineStr"/>
    </row>
    <row r="193">
      <c r="A193" s="4" t="inlineStr">
        <is>
          <t>A0A4Z1HBG3</t>
        </is>
      </c>
      <c r="B193" s="4" t="inlineStr">
        <is>
          <t>Botryotinia convoluta</t>
        </is>
      </c>
      <c r="C193" s="4" t="inlineStr">
        <is>
          <t>Thiolase-like protein</t>
        </is>
      </c>
      <c r="D193" s="4" t="inlineStr">
        <is>
          <t>True</t>
        </is>
      </c>
      <c r="E193" s="4" t="inlineStr">
        <is>
          <t>CTCSLFFDLHNSP</t>
        </is>
      </c>
      <c r="F193" s="4" t="n">
        <v>6</v>
      </c>
      <c r="G193" s="4" t="inlineStr"/>
      <c r="H193" s="4" t="n"/>
      <c r="I193" s="4" t="n"/>
      <c r="J193" s="4" t="n"/>
      <c r="K193" s="4" t="inlineStr"/>
    </row>
    <row r="194">
      <c r="A194" s="4" t="inlineStr">
        <is>
          <t>A0A4Z1IYL3</t>
        </is>
      </c>
      <c r="B194" s="4" t="inlineStr">
        <is>
          <t>Botryotinia narcissicola</t>
        </is>
      </c>
      <c r="C194" s="4" t="inlineStr">
        <is>
          <t>Chalcone/stilbene synthase N-terminal domain-containing protein</t>
        </is>
      </c>
      <c r="D194" s="4" t="inlineStr">
        <is>
          <t>True</t>
        </is>
      </c>
      <c r="E194" s="4" t="inlineStr">
        <is>
          <t>CTCSLFFDLHNSP</t>
        </is>
      </c>
      <c r="F194" s="4" t="n">
        <v>6</v>
      </c>
      <c r="G194" s="4" t="inlineStr"/>
      <c r="H194" s="4" t="n"/>
      <c r="I194" s="4" t="n"/>
      <c r="J194" s="4" t="n"/>
      <c r="K194" s="4" t="inlineStr"/>
    </row>
    <row r="195">
      <c r="A195" s="4" t="inlineStr">
        <is>
          <t>A0A4Z1KSR7</t>
        </is>
      </c>
      <c r="B195" s="4" t="inlineStr">
        <is>
          <t>Botrytis porri</t>
        </is>
      </c>
      <c r="C195" s="4" t="inlineStr">
        <is>
          <t>Chalcone/stilbene synthase N-terminal domain-containing protein</t>
        </is>
      </c>
      <c r="D195" s="4" t="inlineStr">
        <is>
          <t>True</t>
        </is>
      </c>
      <c r="E195" s="4" t="inlineStr">
        <is>
          <t>CTCSLFFDLHNSP</t>
        </is>
      </c>
      <c r="F195" s="4" t="n">
        <v>6</v>
      </c>
      <c r="G195" s="4" t="inlineStr"/>
      <c r="H195" s="4" t="n"/>
      <c r="I195" s="4" t="n"/>
      <c r="J195" s="4" t="n"/>
      <c r="K195" s="4" t="inlineStr"/>
    </row>
    <row r="196">
      <c r="A196" s="4" t="inlineStr">
        <is>
          <t>A0A507AXH1</t>
        </is>
      </c>
      <c r="B196" s="4" t="inlineStr">
        <is>
          <t>Thyridium curvatum</t>
        </is>
      </c>
      <c r="C196" s="4" t="inlineStr">
        <is>
          <t>Uncharacterized protein</t>
        </is>
      </c>
      <c r="D196" s="4" t="inlineStr">
        <is>
          <t>True</t>
        </is>
      </c>
      <c r="E196" s="4" t="inlineStr">
        <is>
          <t>CTCSMFFDLHNSP</t>
        </is>
      </c>
      <c r="F196" s="4" t="n">
        <v>6</v>
      </c>
      <c r="G196" s="4" t="inlineStr"/>
      <c r="H196" s="4" t="n"/>
      <c r="I196" s="4" t="n"/>
      <c r="J196" s="4" t="n"/>
      <c r="K196" s="4" t="inlineStr"/>
    </row>
    <row r="197">
      <c r="A197" s="4" t="inlineStr">
        <is>
          <t>A0A507AYB9</t>
        </is>
      </c>
      <c r="B197" s="4" t="inlineStr">
        <is>
          <t>Thyridium curvatum</t>
        </is>
      </c>
      <c r="C197" s="4" t="inlineStr">
        <is>
          <t>Chalcone synthase</t>
        </is>
      </c>
      <c r="D197" s="4" t="inlineStr">
        <is>
          <t>True</t>
        </is>
      </c>
      <c r="E197" s="4" t="inlineStr">
        <is>
          <t>CTCNLFFNLHNSP</t>
        </is>
      </c>
      <c r="F197" s="4" t="n">
        <v>6</v>
      </c>
      <c r="G197" s="4" t="inlineStr"/>
      <c r="H197" s="4" t="n"/>
      <c r="I197" s="4" t="n"/>
      <c r="J197" s="4" t="n"/>
      <c r="K197" s="4" t="inlineStr"/>
    </row>
    <row r="198">
      <c r="A198" s="4" t="inlineStr">
        <is>
          <t>A0A553I235</t>
        </is>
      </c>
      <c r="B198" s="4" t="inlineStr">
        <is>
          <t>Xylaria flabelliformis</t>
        </is>
      </c>
      <c r="C198" s="4" t="inlineStr">
        <is>
          <t>Chalcone synthase</t>
        </is>
      </c>
      <c r="D198" s="4" t="inlineStr">
        <is>
          <t>True</t>
        </is>
      </c>
      <c r="E198" s="4" t="inlineStr">
        <is>
          <t>CTCSLFFDLHNSP</t>
        </is>
      </c>
      <c r="F198" s="4" t="n">
        <v>6</v>
      </c>
      <c r="G198" s="4" t="inlineStr">
        <is>
          <t>XacuPKS2</t>
        </is>
      </c>
      <c r="H198" s="4" t="n">
        <v>0.5669999999999999</v>
      </c>
      <c r="I198" s="4" t="n">
        <v>0</v>
      </c>
      <c r="J198" s="4" t="n">
        <v>5</v>
      </c>
      <c r="K198" s="4" t="inlineStr">
        <is>
          <t>N-CH3-anthraniloyl-coa,decanoyl-coa,hexanoyl-coa,myristoyl-coa,oleoyl-coa</t>
        </is>
      </c>
    </row>
    <row r="199">
      <c r="A199" s="4" t="inlineStr">
        <is>
          <t>A0A559M4F6</t>
        </is>
      </c>
      <c r="B199" s="4" t="inlineStr">
        <is>
          <t>Lachnellula willkommii</t>
        </is>
      </c>
      <c r="C199" s="4" t="inlineStr">
        <is>
          <t>Putative polyketide synthase</t>
        </is>
      </c>
      <c r="D199" s="4" t="inlineStr">
        <is>
          <t>True</t>
        </is>
      </c>
      <c r="E199" s="4" t="inlineStr">
        <is>
          <t>CTCSLFFDVHNSP</t>
        </is>
      </c>
      <c r="F199" s="4" t="n">
        <v>6</v>
      </c>
      <c r="G199" s="4" t="inlineStr"/>
      <c r="H199" s="4" t="n"/>
      <c r="I199" s="4" t="n"/>
      <c r="J199" s="4" t="n"/>
      <c r="K199" s="4" t="inlineStr"/>
    </row>
    <row r="200">
      <c r="A200" s="4" t="inlineStr">
        <is>
          <t>A0A5M9JCJ9</t>
        </is>
      </c>
      <c r="B200" s="4" t="inlineStr">
        <is>
          <t>Monilinia fructicola</t>
        </is>
      </c>
      <c r="C200" s="4" t="inlineStr">
        <is>
          <t>Uncharacterized protein</t>
        </is>
      </c>
      <c r="D200" s="4" t="inlineStr">
        <is>
          <t>True</t>
        </is>
      </c>
      <c r="E200" s="4" t="inlineStr">
        <is>
          <t>CTCSLFFDLHNSP</t>
        </is>
      </c>
      <c r="F200" s="4" t="n">
        <v>6</v>
      </c>
      <c r="G200" s="4" t="inlineStr"/>
      <c r="H200" s="4" t="n"/>
      <c r="I200" s="4" t="n"/>
      <c r="J200" s="4" t="n"/>
      <c r="K200" s="4" t="inlineStr"/>
    </row>
    <row r="201">
      <c r="A201" s="4" t="inlineStr">
        <is>
          <t>A0A5N5WIJ4</t>
        </is>
      </c>
      <c r="B201" s="4" t="inlineStr">
        <is>
          <t>Aspergillus leporis</t>
        </is>
      </c>
      <c r="C201" s="4" t="inlineStr">
        <is>
          <t>Thiolase-like protein</t>
        </is>
      </c>
      <c r="D201" s="4" t="inlineStr">
        <is>
          <t>True</t>
        </is>
      </c>
      <c r="E201" s="4" t="inlineStr">
        <is>
          <t>CTCMHF-CIHNSA</t>
        </is>
      </c>
      <c r="F201" s="4" t="n">
        <v>6</v>
      </c>
      <c r="G201" s="4" t="inlineStr"/>
      <c r="H201" s="4" t="n"/>
      <c r="I201" s="4" t="n"/>
      <c r="J201" s="4" t="n"/>
      <c r="K201" s="4" t="inlineStr"/>
    </row>
    <row r="202">
      <c r="A202" s="4" t="inlineStr">
        <is>
          <t>A0A5N5WR41</t>
        </is>
      </c>
      <c r="B202" s="4" t="inlineStr">
        <is>
          <t>Aspergillus leporis</t>
        </is>
      </c>
      <c r="C202" s="4" t="inlineStr">
        <is>
          <t>Chalcone synthase B</t>
        </is>
      </c>
      <c r="D202" s="4" t="inlineStr">
        <is>
          <t>True</t>
        </is>
      </c>
      <c r="E202" s="4" t="inlineStr">
        <is>
          <t>ATCCHFYKLHNSP</t>
        </is>
      </c>
      <c r="F202" s="4" t="n">
        <v>6</v>
      </c>
      <c r="G202" s="4" t="inlineStr"/>
      <c r="H202" s="4" t="n"/>
      <c r="I202" s="4" t="n"/>
      <c r="J202" s="4" t="n"/>
      <c r="K202" s="4" t="inlineStr"/>
    </row>
    <row r="203">
      <c r="A203" s="4" t="inlineStr">
        <is>
          <t>A0A5N5X4W7</t>
        </is>
      </c>
      <c r="B203" s="4" t="inlineStr">
        <is>
          <t>Aspergillus leporis</t>
        </is>
      </c>
      <c r="C203" s="4" t="inlineStr">
        <is>
          <t>Thiolase-like protein</t>
        </is>
      </c>
      <c r="D203" s="4" t="inlineStr">
        <is>
          <t>True</t>
        </is>
      </c>
      <c r="E203" s="4" t="inlineStr">
        <is>
          <t>CTCCNFFYLHNSP</t>
        </is>
      </c>
      <c r="F203" s="4" t="n">
        <v>6</v>
      </c>
      <c r="G203" s="4" t="inlineStr"/>
      <c r="H203" s="4" t="n"/>
      <c r="I203" s="4" t="n"/>
      <c r="J203" s="4" t="n"/>
      <c r="K203" s="4" t="inlineStr"/>
    </row>
    <row r="204">
      <c r="A204" s="4" t="inlineStr">
        <is>
          <t>A0A5N6EYA5</t>
        </is>
      </c>
      <c r="B204" s="4" t="inlineStr">
        <is>
          <t>Aspergillus novoparasiticus</t>
        </is>
      </c>
      <c r="C204" s="4" t="inlineStr">
        <is>
          <t>Chalcone synthase B</t>
        </is>
      </c>
      <c r="D204" s="4" t="inlineStr">
        <is>
          <t>True</t>
        </is>
      </c>
      <c r="E204" s="4" t="inlineStr">
        <is>
          <t>ATCCQFYQLHNSP</t>
        </is>
      </c>
      <c r="F204" s="4" t="n">
        <v>6</v>
      </c>
      <c r="G204" s="4" t="inlineStr"/>
      <c r="H204" s="4" t="n"/>
      <c r="I204" s="4" t="n"/>
      <c r="J204" s="4" t="n"/>
      <c r="K204" s="4" t="inlineStr"/>
    </row>
    <row r="205">
      <c r="A205" s="4" t="inlineStr">
        <is>
          <t>A0A5N6JXT8</t>
        </is>
      </c>
      <c r="B205" s="4" t="inlineStr">
        <is>
          <t>Monilinia laxa</t>
        </is>
      </c>
      <c r="C205" s="4" t="inlineStr">
        <is>
          <t>Chalcone/stilbene synthase N-terminal domain-containing protein</t>
        </is>
      </c>
      <c r="D205" s="4" t="inlineStr">
        <is>
          <t>True</t>
        </is>
      </c>
      <c r="E205" s="4" t="inlineStr">
        <is>
          <t>CTCSLFFDLHNSP</t>
        </is>
      </c>
      <c r="F205" s="4" t="n">
        <v>6</v>
      </c>
      <c r="G205" s="4" t="inlineStr"/>
      <c r="H205" s="4" t="n"/>
      <c r="I205" s="4" t="n"/>
      <c r="J205" s="4" t="n"/>
      <c r="K205" s="4" t="inlineStr"/>
    </row>
    <row r="206">
      <c r="A206" s="4" t="inlineStr">
        <is>
          <t>A0A5N6SV38</t>
        </is>
      </c>
      <c r="B206" s="4" t="inlineStr">
        <is>
          <t>Aspergillus pseudotamarii</t>
        </is>
      </c>
      <c r="C206" s="4" t="inlineStr">
        <is>
          <t>Chalcone synthase B</t>
        </is>
      </c>
      <c r="D206" s="4" t="inlineStr">
        <is>
          <t>True</t>
        </is>
      </c>
      <c r="E206" s="4" t="inlineStr">
        <is>
          <t>ATCCQFYKLHNSP</t>
        </is>
      </c>
      <c r="F206" s="4" t="n">
        <v>6</v>
      </c>
      <c r="G206" s="4" t="inlineStr"/>
      <c r="H206" s="4" t="n"/>
      <c r="I206" s="4" t="n"/>
      <c r="J206" s="4" t="n"/>
      <c r="K206" s="4" t="inlineStr"/>
    </row>
    <row r="207">
      <c r="A207" s="4" t="inlineStr">
        <is>
          <t>A0A5N6VAZ8</t>
        </is>
      </c>
      <c r="B207" s="4" t="inlineStr">
        <is>
          <t>Aspergillus tamarii</t>
        </is>
      </c>
      <c r="C207" s="4" t="inlineStr">
        <is>
          <t>Chalcone synthase B</t>
        </is>
      </c>
      <c r="D207" s="4" t="inlineStr">
        <is>
          <t>True</t>
        </is>
      </c>
      <c r="E207" s="4" t="inlineStr">
        <is>
          <t>ATCCQFYQLHNSP</t>
        </is>
      </c>
      <c r="F207" s="4" t="n">
        <v>6</v>
      </c>
      <c r="G207" s="4" t="inlineStr"/>
      <c r="H207" s="4" t="n"/>
      <c r="I207" s="4" t="n"/>
      <c r="J207" s="4" t="n"/>
      <c r="K207" s="4" t="inlineStr"/>
    </row>
    <row r="208">
      <c r="A208" s="4" t="inlineStr">
        <is>
          <t>A0A5N6VBQ0</t>
        </is>
      </c>
      <c r="B208" s="4" t="inlineStr">
        <is>
          <t>Aspergillus tamarii</t>
        </is>
      </c>
      <c r="C208" s="4" t="inlineStr">
        <is>
          <t>Chalcone synthase B</t>
        </is>
      </c>
      <c r="D208" s="4" t="inlineStr">
        <is>
          <t>True</t>
        </is>
      </c>
      <c r="E208" s="4" t="inlineStr">
        <is>
          <t>ATCCQFYRLHNSP</t>
        </is>
      </c>
      <c r="F208" s="4" t="n">
        <v>6</v>
      </c>
      <c r="G208" s="4" t="inlineStr"/>
      <c r="H208" s="4" t="n"/>
      <c r="I208" s="4" t="n"/>
      <c r="J208" s="4" t="n"/>
      <c r="K208" s="4" t="inlineStr"/>
    </row>
    <row r="209">
      <c r="A209" s="4" t="inlineStr">
        <is>
          <t>A0A5N7ANY5</t>
        </is>
      </c>
      <c r="B209" s="4" t="inlineStr">
        <is>
          <t>Aspergillus caelatus</t>
        </is>
      </c>
      <c r="C209" s="4" t="inlineStr">
        <is>
          <t>Chalcone synthase B</t>
        </is>
      </c>
      <c r="D209" s="4" t="inlineStr">
        <is>
          <t>True</t>
        </is>
      </c>
      <c r="E209" s="4" t="inlineStr">
        <is>
          <t>ATCCQFYRLHNSP</t>
        </is>
      </c>
      <c r="F209" s="4" t="n">
        <v>6</v>
      </c>
      <c r="G209" s="4" t="inlineStr"/>
      <c r="H209" s="4" t="n"/>
      <c r="I209" s="4" t="n"/>
      <c r="J209" s="4" t="n"/>
      <c r="K209" s="4" t="inlineStr"/>
    </row>
    <row r="210">
      <c r="A210" s="4" t="inlineStr">
        <is>
          <t>A0A5N7D7Z4</t>
        </is>
      </c>
      <c r="B210" s="4" t="inlineStr">
        <is>
          <t>Aspergillus pseudonomiae</t>
        </is>
      </c>
      <c r="C210" s="4" t="inlineStr">
        <is>
          <t>Chalcone synthase B</t>
        </is>
      </c>
      <c r="D210" s="4" t="inlineStr">
        <is>
          <t>True</t>
        </is>
      </c>
      <c r="E210" s="4" t="inlineStr">
        <is>
          <t>ATCCQFYQLHNSP</t>
        </is>
      </c>
      <c r="F210" s="4" t="n">
        <v>6</v>
      </c>
      <c r="G210" s="4" t="inlineStr"/>
      <c r="H210" s="4" t="n"/>
      <c r="I210" s="4" t="n"/>
      <c r="J210" s="4" t="n"/>
      <c r="K210" s="4" t="inlineStr"/>
    </row>
    <row r="211">
      <c r="A211" s="4" t="inlineStr">
        <is>
          <t>A0A6A5QT49</t>
        </is>
      </c>
      <c r="B211" s="4" t="inlineStr">
        <is>
          <t>Ampelomyces quisqualis</t>
        </is>
      </c>
      <c r="C211" s="4" t="inlineStr">
        <is>
          <t>Thiolase-like protein</t>
        </is>
      </c>
      <c r="D211" s="4" t="inlineStr">
        <is>
          <t>True</t>
        </is>
      </c>
      <c r="E211" s="4" t="inlineStr">
        <is>
          <t>CTCCFFYTMHNSP</t>
        </is>
      </c>
      <c r="F211" s="4" t="n">
        <v>6</v>
      </c>
      <c r="G211" s="4" t="inlineStr"/>
      <c r="H211" s="4" t="n"/>
      <c r="I211" s="4" t="n"/>
      <c r="J211" s="4" t="n"/>
      <c r="K211" s="4" t="inlineStr"/>
    </row>
    <row r="212">
      <c r="A212" s="4" t="inlineStr">
        <is>
          <t>A0A6A5YEE4</t>
        </is>
      </c>
      <c r="B212" s="4" t="inlineStr">
        <is>
          <t>Lophiotrema nucula</t>
        </is>
      </c>
      <c r="C212" s="4" t="inlineStr">
        <is>
          <t>Chalcone synthase B (Fragment)</t>
        </is>
      </c>
      <c r="D212" s="4" t="inlineStr">
        <is>
          <t>True</t>
        </is>
      </c>
      <c r="E212" s="4" t="inlineStr">
        <is>
          <t>CTCCFFFELHNSP</t>
        </is>
      </c>
      <c r="F212" s="4" t="n">
        <v>6</v>
      </c>
      <c r="G212" s="4" t="inlineStr"/>
      <c r="H212" s="4" t="n"/>
      <c r="I212" s="4" t="n"/>
      <c r="J212" s="4" t="n"/>
      <c r="K212" s="4" t="inlineStr"/>
    </row>
    <row r="213">
      <c r="A213" s="4" t="inlineStr">
        <is>
          <t>A0A6A5Z394</t>
        </is>
      </c>
      <c r="B213" s="4" t="inlineStr">
        <is>
          <t>Lophiotrema nucula</t>
        </is>
      </c>
      <c r="C213" s="4" t="inlineStr">
        <is>
          <t>Chalcone synthase B</t>
        </is>
      </c>
      <c r="D213" s="4" t="inlineStr">
        <is>
          <t>True</t>
        </is>
      </c>
      <c r="E213" s="4" t="inlineStr">
        <is>
          <t>CTCCNFFILHNSP</t>
        </is>
      </c>
      <c r="F213" s="4" t="n">
        <v>6</v>
      </c>
      <c r="G213" s="4" t="inlineStr"/>
      <c r="H213" s="4" t="n"/>
      <c r="I213" s="4" t="n"/>
      <c r="J213" s="4" t="n"/>
      <c r="K213" s="4" t="inlineStr"/>
    </row>
    <row r="214">
      <c r="A214" s="4" t="inlineStr">
        <is>
          <t>A0A6A6CEL4</t>
        </is>
      </c>
      <c r="B214" s="4" t="inlineStr">
        <is>
          <t>Zasmidium cellare ATCC 36951</t>
        </is>
      </c>
      <c r="C214" s="4" t="inlineStr">
        <is>
          <t>Chalcone/stilbene synthase N-terminal domain-containing protein</t>
        </is>
      </c>
      <c r="D214" s="4" t="inlineStr">
        <is>
          <t>True</t>
        </is>
      </c>
      <c r="E214" s="4" t="inlineStr">
        <is>
          <t>CTCCFFFHLHNS-</t>
        </is>
      </c>
      <c r="F214" s="4" t="n">
        <v>6</v>
      </c>
      <c r="G214" s="4" t="inlineStr"/>
      <c r="H214" s="4" t="n"/>
      <c r="I214" s="4" t="n"/>
      <c r="J214" s="4" t="n"/>
      <c r="K214" s="4" t="inlineStr"/>
    </row>
    <row r="215">
      <c r="A215" s="4" t="inlineStr">
        <is>
          <t>A0A6A6H916</t>
        </is>
      </c>
      <c r="B215" s="4" t="inlineStr">
        <is>
          <t>Viridothelium virens</t>
        </is>
      </c>
      <c r="C215" s="4" t="inlineStr">
        <is>
          <t>Thiolase-like protein</t>
        </is>
      </c>
      <c r="D215" s="4" t="inlineStr">
        <is>
          <t>True</t>
        </is>
      </c>
      <c r="E215" s="4" t="inlineStr">
        <is>
          <t>ATCCQFYQLHNSP</t>
        </is>
      </c>
      <c r="F215" s="4" t="n">
        <v>6</v>
      </c>
      <c r="G215" s="4" t="inlineStr"/>
      <c r="H215" s="4" t="n"/>
      <c r="I215" s="4" t="n"/>
      <c r="J215" s="4" t="n"/>
      <c r="K215" s="4" t="inlineStr"/>
    </row>
    <row r="216">
      <c r="A216" s="4" t="inlineStr">
        <is>
          <t>A0A6A6X0U9</t>
        </is>
      </c>
      <c r="B216" s="4" t="inlineStr">
        <is>
          <t>Melanomma pulvis-pyrius CBS 109.77</t>
        </is>
      </c>
      <c r="C216" s="4" t="inlineStr">
        <is>
          <t>Chalcone synthase B</t>
        </is>
      </c>
      <c r="D216" s="4" t="inlineStr">
        <is>
          <t>True</t>
        </is>
      </c>
      <c r="E216" s="4" t="inlineStr">
        <is>
          <t>CTCCHFFFLHNSP</t>
        </is>
      </c>
      <c r="F216" s="4" t="n">
        <v>6</v>
      </c>
      <c r="G216" s="4" t="inlineStr"/>
      <c r="H216" s="4" t="n"/>
      <c r="I216" s="4" t="n"/>
      <c r="J216" s="4" t="n"/>
      <c r="K216" s="4" t="inlineStr"/>
    </row>
    <row r="217">
      <c r="A217" s="4" t="inlineStr">
        <is>
          <t>A0A6A7A0P0</t>
        </is>
      </c>
      <c r="B217" s="4" t="inlineStr">
        <is>
          <t>Ophiobolus disseminans</t>
        </is>
      </c>
      <c r="C217" s="4" t="inlineStr">
        <is>
          <t>Thiolase-like protein</t>
        </is>
      </c>
      <c r="D217" s="4" t="inlineStr">
        <is>
          <t>True</t>
        </is>
      </c>
      <c r="E217" s="4" t="inlineStr">
        <is>
          <t>CTC--FYDMHNSP</t>
        </is>
      </c>
      <c r="F217" s="4" t="n">
        <v>6</v>
      </c>
      <c r="G217" s="4" t="inlineStr"/>
      <c r="H217" s="4" t="n"/>
      <c r="I217" s="4" t="n"/>
      <c r="J217" s="4" t="n"/>
      <c r="K217" s="4" t="inlineStr"/>
    </row>
    <row r="218">
      <c r="A218" s="4" t="inlineStr">
        <is>
          <t>A0A6P8ASY9</t>
        </is>
      </c>
      <c r="B218" s="4" t="inlineStr">
        <is>
          <t>Pyricularia grisea</t>
        </is>
      </c>
      <c r="C218" s="4" t="inlineStr">
        <is>
          <t>Chalcone synthase</t>
        </is>
      </c>
      <c r="D218" s="4" t="inlineStr">
        <is>
          <t>True</t>
        </is>
      </c>
      <c r="E218" s="4" t="inlineStr">
        <is>
          <t>CTCCGFSYLHNSP</t>
        </is>
      </c>
      <c r="F218" s="4" t="n">
        <v>6</v>
      </c>
      <c r="G218" s="4" t="inlineStr"/>
      <c r="H218" s="4" t="n"/>
      <c r="I218" s="4" t="n"/>
      <c r="J218" s="4" t="n"/>
      <c r="K218" s="4" t="inlineStr"/>
    </row>
    <row r="219">
      <c r="A219" s="4" t="inlineStr">
        <is>
          <t>A0A6P8BDL9</t>
        </is>
      </c>
      <c r="B219" s="4" t="inlineStr">
        <is>
          <t>Pyricularia grisea</t>
        </is>
      </c>
      <c r="C219" s="4" t="inlineStr">
        <is>
          <t>Uncharacterized protein</t>
        </is>
      </c>
      <c r="D219" s="4" t="inlineStr">
        <is>
          <t>True</t>
        </is>
      </c>
      <c r="E219" s="4" t="inlineStr">
        <is>
          <t>CTCSFFFDLHNSP</t>
        </is>
      </c>
      <c r="F219" s="4" t="n">
        <v>6</v>
      </c>
      <c r="G219" s="4" t="inlineStr"/>
      <c r="H219" s="4" t="n"/>
      <c r="I219" s="4" t="n"/>
      <c r="J219" s="4" t="n"/>
      <c r="K219" s="4" t="inlineStr"/>
    </row>
    <row r="220">
      <c r="A220" s="4" t="inlineStr">
        <is>
          <t>A0A7C8IWR1</t>
        </is>
      </c>
      <c r="B220" s="4" t="inlineStr">
        <is>
          <t>Xylaria multiplex</t>
        </is>
      </c>
      <c r="C220" s="4" t="inlineStr">
        <is>
          <t>Chalcone synthase</t>
        </is>
      </c>
      <c r="D220" s="4" t="inlineStr">
        <is>
          <t>True</t>
        </is>
      </c>
      <c r="E220" s="4" t="inlineStr">
        <is>
          <t>CTCSLFFDLHNSP</t>
        </is>
      </c>
      <c r="F220" s="4" t="n">
        <v>6</v>
      </c>
      <c r="G220" s="4" t="inlineStr">
        <is>
          <t>HargPKS2</t>
        </is>
      </c>
      <c r="H220" s="4" t="n">
        <v>0.392</v>
      </c>
      <c r="I220" s="4" t="n">
        <v>0</v>
      </c>
      <c r="J220" s="4" t="n">
        <v>5</v>
      </c>
      <c r="K220" s="4" t="inlineStr">
        <is>
          <t>N-CH3-anthraniloyl-coa,decanoyl-coa,hexanoyl-coa,myristoyl-coa,oleoyl-coa</t>
        </is>
      </c>
    </row>
    <row r="221">
      <c r="A221" s="4" t="inlineStr">
        <is>
          <t>A0A7H8R5X6</t>
        </is>
      </c>
      <c r="B221" s="4" t="inlineStr">
        <is>
          <t>Talaromyces rugulosus</t>
        </is>
      </c>
      <c r="C221" s="4" t="inlineStr">
        <is>
          <t>Chalcone/stilbene synthase N-terminal domain-containing protein</t>
        </is>
      </c>
      <c r="D221" s="4" t="inlineStr">
        <is>
          <t>True</t>
        </is>
      </c>
      <c r="E221" s="4" t="inlineStr">
        <is>
          <t>ATCCHFYNLHNSP</t>
        </is>
      </c>
      <c r="F221" s="4" t="n">
        <v>6</v>
      </c>
      <c r="G221" s="4" t="inlineStr"/>
      <c r="H221" s="4" t="n"/>
      <c r="I221" s="4" t="n"/>
      <c r="J221" s="4" t="n"/>
      <c r="K221" s="4" t="inlineStr"/>
    </row>
    <row r="222">
      <c r="A222" s="4" t="inlineStr">
        <is>
          <t>A0A7U2ESB4</t>
        </is>
      </c>
      <c r="B222" s="4" t="inlineStr">
        <is>
          <t>Phaeosphaeria nodorum (strain SN15 / ATCC MYA-4574 / FGSC 10173)</t>
        </is>
      </c>
      <c r="C222" s="4" t="inlineStr">
        <is>
          <t>Uncharacterized protein</t>
        </is>
      </c>
      <c r="D222" s="4" t="inlineStr">
        <is>
          <t>True</t>
        </is>
      </c>
      <c r="E222" s="4" t="inlineStr">
        <is>
          <t>CTCCNFFCLHNSP</t>
        </is>
      </c>
      <c r="F222" s="4" t="n">
        <v>6</v>
      </c>
      <c r="G222" s="4" t="inlineStr"/>
      <c r="H222" s="4" t="n"/>
      <c r="I222" s="4" t="n"/>
      <c r="J222" s="4" t="n"/>
      <c r="K222" s="4" t="inlineStr"/>
    </row>
    <row r="223">
      <c r="A223" s="4" t="inlineStr">
        <is>
          <t>A0A7U2R353</t>
        </is>
      </c>
      <c r="B223" s="4" t="inlineStr">
        <is>
          <t>Aspergillus flavus (strain ATCC 200026 / FGSC A1120 / IAM 13836 / NRRL 3357 / JCM 12722 / SRRC 167)</t>
        </is>
      </c>
      <c r="C223" s="4" t="inlineStr">
        <is>
          <t>Thiolase-like protein</t>
        </is>
      </c>
      <c r="D223" s="4" t="inlineStr">
        <is>
          <t>True</t>
        </is>
      </c>
      <c r="E223" s="4" t="inlineStr">
        <is>
          <t>CTCMYF-CIHNSA</t>
        </is>
      </c>
      <c r="F223" s="4" t="n">
        <v>6</v>
      </c>
      <c r="G223" s="4" t="inlineStr"/>
      <c r="H223" s="4" t="n"/>
      <c r="I223" s="4" t="n"/>
      <c r="J223" s="4" t="n"/>
      <c r="K223" s="4" t="inlineStr"/>
    </row>
    <row r="224">
      <c r="A224" s="4" t="inlineStr">
        <is>
          <t>A0A8A3PMK3</t>
        </is>
      </c>
      <c r="B224" s="4" t="inlineStr">
        <is>
          <t>Monilinia vaccinii-corymbosi</t>
        </is>
      </c>
      <c r="C224" s="4" t="inlineStr">
        <is>
          <t>Thiolase-like protein</t>
        </is>
      </c>
      <c r="D224" s="4" t="inlineStr">
        <is>
          <t>True</t>
        </is>
      </c>
      <c r="E224" s="4" t="inlineStr">
        <is>
          <t>CTCSLFFDLHNSP</t>
        </is>
      </c>
      <c r="F224" s="4" t="n">
        <v>6</v>
      </c>
      <c r="G224" s="4" t="inlineStr"/>
      <c r="H224" s="4" t="n"/>
      <c r="I224" s="4" t="n"/>
      <c r="J224" s="4" t="n"/>
      <c r="K224" s="4" t="inlineStr"/>
    </row>
    <row r="225">
      <c r="A225" s="4" t="inlineStr">
        <is>
          <t>A0A8G1RYW8</t>
        </is>
      </c>
      <c r="B225" s="4" t="inlineStr">
        <is>
          <t>Aspergillus fijiensis CBS 313.89</t>
        </is>
      </c>
      <c r="C225" s="4" t="inlineStr">
        <is>
          <t>Thiolase-like protein</t>
        </is>
      </c>
      <c r="D225" s="4" t="inlineStr">
        <is>
          <t>True</t>
        </is>
      </c>
      <c r="E225" s="4" t="inlineStr">
        <is>
          <t>VTCCHFYRLHNSP</t>
        </is>
      </c>
      <c r="F225" s="4" t="n">
        <v>6</v>
      </c>
      <c r="G225" s="4" t="inlineStr"/>
      <c r="H225" s="4" t="n"/>
      <c r="I225" s="4" t="n"/>
      <c r="J225" s="4" t="n"/>
      <c r="K225" s="4" t="inlineStr"/>
    </row>
    <row r="226">
      <c r="A226" s="4" t="inlineStr">
        <is>
          <t>A0A8H3ETM5</t>
        </is>
      </c>
      <c r="B226" s="4" t="inlineStr">
        <is>
          <t>Alectoria fallacina</t>
        </is>
      </c>
      <c r="C226" s="4" t="inlineStr">
        <is>
          <t>Chalcone synthase</t>
        </is>
      </c>
      <c r="D226" s="4" t="inlineStr">
        <is>
          <t>True</t>
        </is>
      </c>
      <c r="E226" s="4" t="inlineStr">
        <is>
          <t>CTCSMFFDLHNSP</t>
        </is>
      </c>
      <c r="F226" s="4" t="n">
        <v>6</v>
      </c>
      <c r="G226" s="4" t="inlineStr"/>
      <c r="H226" s="4" t="n"/>
      <c r="I226" s="4" t="n"/>
      <c r="J226" s="4" t="n"/>
      <c r="K226" s="4" t="inlineStr"/>
    </row>
    <row r="227">
      <c r="A227" s="4" t="inlineStr">
        <is>
          <t>A0A8H3EVP5</t>
        </is>
      </c>
      <c r="B227" s="4" t="inlineStr">
        <is>
          <t>Heterodermia speciosa</t>
        </is>
      </c>
      <c r="C227" s="4" t="inlineStr">
        <is>
          <t>Chalcone synthase</t>
        </is>
      </c>
      <c r="D227" s="4" t="inlineStr">
        <is>
          <t>True</t>
        </is>
      </c>
      <c r="E227" s="4" t="inlineStr">
        <is>
          <t>CTCSLFFDLHNSP</t>
        </is>
      </c>
      <c r="F227" s="4" t="n">
        <v>6</v>
      </c>
      <c r="G227" s="4" t="inlineStr"/>
      <c r="H227" s="4" t="n"/>
      <c r="I227" s="4" t="n"/>
      <c r="J227" s="4" t="n"/>
      <c r="K227" s="4" t="inlineStr"/>
    </row>
    <row r="228">
      <c r="A228" s="4" t="inlineStr">
        <is>
          <t>A0A8H3F2X0</t>
        </is>
      </c>
      <c r="B228" s="4" t="inlineStr">
        <is>
          <t>Imshaugia aleurites</t>
        </is>
      </c>
      <c r="C228" s="4" t="inlineStr">
        <is>
          <t>Chalcone synthase</t>
        </is>
      </c>
      <c r="D228" s="4" t="inlineStr">
        <is>
          <t>True</t>
        </is>
      </c>
      <c r="E228" s="4" t="inlineStr">
        <is>
          <t>CTCSMFFDLHNSP</t>
        </is>
      </c>
      <c r="F228" s="4" t="n">
        <v>6</v>
      </c>
      <c r="G228" s="4" t="inlineStr"/>
      <c r="H228" s="4" t="n"/>
      <c r="I228" s="4" t="n"/>
      <c r="J228" s="4" t="n"/>
      <c r="K228" s="4" t="inlineStr"/>
    </row>
    <row r="229">
      <c r="A229" s="4" t="inlineStr">
        <is>
          <t>A0A8H3INC4</t>
        </is>
      </c>
      <c r="B229" s="4" t="inlineStr">
        <is>
          <t>Gomphillus americanus</t>
        </is>
      </c>
      <c r="C229" s="4" t="inlineStr">
        <is>
          <t>Chalcone synthase</t>
        </is>
      </c>
      <c r="D229" s="4" t="inlineStr">
        <is>
          <t>True</t>
        </is>
      </c>
      <c r="E229" s="4" t="inlineStr">
        <is>
          <t>CTCSFFFDLHNSP</t>
        </is>
      </c>
      <c r="F229" s="4" t="n">
        <v>6</v>
      </c>
      <c r="G229" s="4" t="inlineStr"/>
      <c r="H229" s="4" t="n"/>
      <c r="I229" s="4" t="n"/>
      <c r="J229" s="4" t="n"/>
      <c r="K229" s="4" t="inlineStr"/>
    </row>
    <row r="230">
      <c r="A230" s="4" t="inlineStr">
        <is>
          <t>A0A8H3J2S8</t>
        </is>
      </c>
      <c r="B230" s="4" t="inlineStr">
        <is>
          <t>Imshaugia aleurites</t>
        </is>
      </c>
      <c r="C230" s="4" t="inlineStr">
        <is>
          <t>Chalcone synthase</t>
        </is>
      </c>
      <c r="D230" s="4" t="inlineStr">
        <is>
          <t>True</t>
        </is>
      </c>
      <c r="E230" s="4" t="inlineStr">
        <is>
          <t>CTCCFFFVLHNSP</t>
        </is>
      </c>
      <c r="F230" s="4" t="n">
        <v>6</v>
      </c>
      <c r="G230" s="4" t="inlineStr"/>
      <c r="H230" s="4" t="n"/>
      <c r="I230" s="4" t="n"/>
      <c r="J230" s="4" t="n"/>
      <c r="K230" s="4" t="inlineStr"/>
    </row>
    <row r="231">
      <c r="A231" s="4" t="inlineStr">
        <is>
          <t>A0A8H3WB87</t>
        </is>
      </c>
      <c r="B231" s="4" t="inlineStr">
        <is>
          <t>Colletotrichum asianum</t>
        </is>
      </c>
      <c r="C231" s="4" t="inlineStr">
        <is>
          <t>Type iii polyketide synthase</t>
        </is>
      </c>
      <c r="D231" s="4" t="inlineStr">
        <is>
          <t>True</t>
        </is>
      </c>
      <c r="E231" s="4" t="inlineStr">
        <is>
          <t>CTCSLFFDLHNSP</t>
        </is>
      </c>
      <c r="F231" s="4" t="n">
        <v>6</v>
      </c>
      <c r="G231" s="4" t="inlineStr"/>
      <c r="H231" s="4" t="n"/>
      <c r="I231" s="4" t="n"/>
      <c r="J231" s="4" t="n"/>
      <c r="K231" s="4" t="inlineStr"/>
    </row>
    <row r="232">
      <c r="A232" s="4" t="inlineStr">
        <is>
          <t>A0A8H4LED7</t>
        </is>
      </c>
      <c r="B232" s="4" t="inlineStr">
        <is>
          <t>Fusarium albosuccineum</t>
        </is>
      </c>
      <c r="C232" s="4" t="inlineStr">
        <is>
          <t>Chalcone and stilbene synthase domain-containing</t>
        </is>
      </c>
      <c r="D232" s="4" t="inlineStr">
        <is>
          <t>True</t>
        </is>
      </c>
      <c r="E232" s="4" t="inlineStr">
        <is>
          <t>CTCSLFFDLHNSP</t>
        </is>
      </c>
      <c r="F232" s="4" t="n">
        <v>6</v>
      </c>
      <c r="G232" s="4" t="inlineStr"/>
      <c r="H232" s="4" t="n"/>
      <c r="I232" s="4" t="n"/>
      <c r="J232" s="4" t="n"/>
      <c r="K232" s="4" t="inlineStr"/>
    </row>
    <row r="233">
      <c r="A233" s="4" t="inlineStr">
        <is>
          <t>A0A8H4NL21</t>
        </is>
      </c>
      <c r="B233" s="4" t="inlineStr">
        <is>
          <t>Fusarium austroafricanum</t>
        </is>
      </c>
      <c r="C233" s="4" t="inlineStr">
        <is>
          <t>Uncharacterized protein</t>
        </is>
      </c>
      <c r="D233" s="4" t="inlineStr">
        <is>
          <t>True</t>
        </is>
      </c>
      <c r="E233" s="4" t="inlineStr">
        <is>
          <t>CTCSMFFDLHNSP</t>
        </is>
      </c>
      <c r="F233" s="4" t="n">
        <v>6</v>
      </c>
      <c r="G233" s="4" t="inlineStr"/>
      <c r="H233" s="4" t="n"/>
      <c r="I233" s="4" t="n"/>
      <c r="J233" s="4" t="n"/>
      <c r="K233" s="4" t="inlineStr"/>
    </row>
    <row r="234">
      <c r="A234" s="4" t="inlineStr">
        <is>
          <t>A0A8H4P7M9</t>
        </is>
      </c>
      <c r="B234" s="4" t="inlineStr">
        <is>
          <t>Fusarium albosuccineum</t>
        </is>
      </c>
      <c r="C234" s="4" t="inlineStr">
        <is>
          <t>Uncharacterized protein</t>
        </is>
      </c>
      <c r="D234" s="4" t="inlineStr">
        <is>
          <t>True</t>
        </is>
      </c>
      <c r="E234" s="4" t="inlineStr">
        <is>
          <t>CTCSMFFDLHNSP</t>
        </is>
      </c>
      <c r="F234" s="4" t="n">
        <v>6</v>
      </c>
      <c r="G234" s="4" t="inlineStr"/>
      <c r="H234" s="4" t="n"/>
      <c r="I234" s="4" t="n"/>
      <c r="J234" s="4" t="n"/>
      <c r="K234" s="4" t="inlineStr"/>
    </row>
    <row r="235">
      <c r="A235" s="4" t="inlineStr">
        <is>
          <t>A0A8H4RNA6</t>
        </is>
      </c>
      <c r="B235" s="4" t="inlineStr">
        <is>
          <t>Cudoniella acicularis</t>
        </is>
      </c>
      <c r="C235" s="4" t="inlineStr">
        <is>
          <t>Thiolase-like protein</t>
        </is>
      </c>
      <c r="D235" s="4" t="inlineStr">
        <is>
          <t>True</t>
        </is>
      </c>
      <c r="E235" s="4" t="inlineStr">
        <is>
          <t>CTCSLFFDLHNSP</t>
        </is>
      </c>
      <c r="F235" s="4" t="n">
        <v>6</v>
      </c>
      <c r="G235" s="4" t="inlineStr"/>
      <c r="H235" s="4" t="n"/>
      <c r="I235" s="4" t="n"/>
      <c r="J235" s="4" t="n"/>
      <c r="K235" s="4" t="inlineStr"/>
    </row>
    <row r="236">
      <c r="A236" s="4" t="inlineStr">
        <is>
          <t>A0A8H4UM27</t>
        </is>
      </c>
      <c r="B236" s="4" t="inlineStr">
        <is>
          <t>Fusarium zealandicum</t>
        </is>
      </c>
      <c r="C236" s="4" t="inlineStr">
        <is>
          <t>Uncharacterized protein</t>
        </is>
      </c>
      <c r="D236" s="4" t="inlineStr">
        <is>
          <t>True</t>
        </is>
      </c>
      <c r="E236" s="4" t="inlineStr">
        <is>
          <t>CTCSMFFDLHNSP</t>
        </is>
      </c>
      <c r="F236" s="4" t="n">
        <v>6</v>
      </c>
      <c r="G236" s="4" t="inlineStr"/>
      <c r="H236" s="4" t="n"/>
      <c r="I236" s="4" t="n"/>
      <c r="J236" s="4" t="n"/>
      <c r="K236" s="4" t="inlineStr"/>
    </row>
    <row r="237">
      <c r="A237" s="4" t="inlineStr">
        <is>
          <t>A0A8H4X7Q3</t>
        </is>
      </c>
      <c r="B237" s="4" t="inlineStr">
        <is>
          <t>Fusarium sarcochroum</t>
        </is>
      </c>
      <c r="C237" s="4" t="inlineStr">
        <is>
          <t>Uncharacterized protein</t>
        </is>
      </c>
      <c r="D237" s="4" t="inlineStr">
        <is>
          <t>True</t>
        </is>
      </c>
      <c r="E237" s="4" t="inlineStr">
        <is>
          <t>CTCSMFFDLHNSP</t>
        </is>
      </c>
      <c r="F237" s="4" t="n">
        <v>6</v>
      </c>
      <c r="G237" s="4" t="inlineStr"/>
      <c r="H237" s="4" t="n"/>
      <c r="I237" s="4" t="n"/>
      <c r="J237" s="4" t="n"/>
      <c r="K237" s="4" t="inlineStr"/>
    </row>
    <row r="238">
      <c r="A238" s="4" t="inlineStr">
        <is>
          <t>A0A8H5KJB0</t>
        </is>
      </c>
      <c r="B238" s="4" t="inlineStr">
        <is>
          <t>Fusarium pseudocircinatum</t>
        </is>
      </c>
      <c r="C238" s="4" t="inlineStr">
        <is>
          <t>Chalcone synthase B</t>
        </is>
      </c>
      <c r="D238" s="4" t="inlineStr">
        <is>
          <t>True</t>
        </is>
      </c>
      <c r="E238" s="4" t="inlineStr">
        <is>
          <t>GTCTNFCLMHNAP</t>
        </is>
      </c>
      <c r="F238" s="4" t="n">
        <v>6</v>
      </c>
      <c r="G238" s="4" t="inlineStr"/>
      <c r="H238" s="4" t="n"/>
      <c r="I238" s="4" t="n"/>
      <c r="J238" s="4" t="n"/>
      <c r="K238" s="4" t="inlineStr"/>
    </row>
    <row r="239">
      <c r="A239" s="4" t="inlineStr">
        <is>
          <t>A0A8H5MR42</t>
        </is>
      </c>
      <c r="B239" s="4" t="inlineStr">
        <is>
          <t>Fusarium mexicanum</t>
        </is>
      </c>
      <c r="C239" s="4" t="inlineStr">
        <is>
          <t>Chalcone synthase B</t>
        </is>
      </c>
      <c r="D239" s="4" t="inlineStr">
        <is>
          <t>True</t>
        </is>
      </c>
      <c r="E239" s="4" t="inlineStr">
        <is>
          <t>GTCTNFCLMHNAP</t>
        </is>
      </c>
      <c r="F239" s="4" t="n">
        <v>6</v>
      </c>
      <c r="G239" s="4" t="inlineStr"/>
      <c r="H239" s="4" t="n"/>
      <c r="I239" s="4" t="n"/>
      <c r="J239" s="4" t="n"/>
      <c r="K239" s="4" t="inlineStr"/>
    </row>
    <row r="240">
      <c r="A240" s="4" t="inlineStr">
        <is>
          <t>A0A8H5NJY9</t>
        </is>
      </c>
      <c r="B240" s="4" t="inlineStr">
        <is>
          <t>Fusarium pseudoanthophilum</t>
        </is>
      </c>
      <c r="C240" s="4" t="inlineStr">
        <is>
          <t>Chalcone synthase B</t>
        </is>
      </c>
      <c r="D240" s="4" t="inlineStr">
        <is>
          <t>True</t>
        </is>
      </c>
      <c r="E240" s="4" t="inlineStr">
        <is>
          <t>GTCTNFCLMHNAP</t>
        </is>
      </c>
      <c r="F240" s="4" t="n">
        <v>6</v>
      </c>
      <c r="G240" s="4" t="inlineStr"/>
      <c r="H240" s="4" t="n"/>
      <c r="I240" s="4" t="n"/>
      <c r="J240" s="4" t="n"/>
      <c r="K240" s="4" t="inlineStr"/>
    </row>
    <row r="241">
      <c r="A241" s="4" t="inlineStr">
        <is>
          <t>A0A8H6FA44</t>
        </is>
      </c>
      <c r="B241" s="4" t="inlineStr">
        <is>
          <t>Letharia lupina</t>
        </is>
      </c>
      <c r="C241" s="4" t="inlineStr">
        <is>
          <t>Uncharacterized protein</t>
        </is>
      </c>
      <c r="D241" s="4" t="inlineStr">
        <is>
          <t>True</t>
        </is>
      </c>
      <c r="E241" s="4" t="inlineStr">
        <is>
          <t>CTCCNFFMLHNSP</t>
        </is>
      </c>
      <c r="F241" s="4" t="n">
        <v>6</v>
      </c>
      <c r="G241" s="4" t="inlineStr"/>
      <c r="H241" s="4" t="n"/>
      <c r="I241" s="4" t="n"/>
      <c r="J241" s="4" t="n"/>
      <c r="K241" s="4" t="inlineStr"/>
    </row>
    <row r="242">
      <c r="A242" s="4" t="inlineStr">
        <is>
          <t>A0A8H6FE65</t>
        </is>
      </c>
      <c r="B242" s="4" t="inlineStr">
        <is>
          <t>Letharia lupina</t>
        </is>
      </c>
      <c r="C242" s="4" t="inlineStr">
        <is>
          <t>Uncharacterized protein</t>
        </is>
      </c>
      <c r="D242" s="4" t="inlineStr">
        <is>
          <t>True</t>
        </is>
      </c>
      <c r="E242" s="4" t="inlineStr">
        <is>
          <t>CTCSMFFDLHNSP</t>
        </is>
      </c>
      <c r="F242" s="4" t="n">
        <v>6</v>
      </c>
      <c r="G242" s="4" t="inlineStr"/>
      <c r="H242" s="4" t="n"/>
      <c r="I242" s="4" t="n"/>
      <c r="J242" s="4" t="n"/>
      <c r="K242" s="4" t="inlineStr"/>
    </row>
    <row r="243">
      <c r="A243" s="4" t="inlineStr">
        <is>
          <t>A0A8H6IQ33</t>
        </is>
      </c>
      <c r="B243" s="4" t="inlineStr">
        <is>
          <t>Colletotrichum sojae</t>
        </is>
      </c>
      <c r="C243" s="4" t="inlineStr">
        <is>
          <t>Chalcone synthase B</t>
        </is>
      </c>
      <c r="D243" s="4" t="inlineStr">
        <is>
          <t>True</t>
        </is>
      </c>
      <c r="E243" s="4" t="inlineStr">
        <is>
          <t>VGCCYFAMIHNGP</t>
        </is>
      </c>
      <c r="F243" s="4" t="n">
        <v>6</v>
      </c>
      <c r="G243" s="4" t="inlineStr"/>
      <c r="H243" s="4" t="n"/>
      <c r="I243" s="4" t="n"/>
      <c r="J243" s="4" t="n"/>
      <c r="K243" s="4" t="inlineStr"/>
    </row>
    <row r="244">
      <c r="A244" s="4" t="inlineStr">
        <is>
          <t>A0A8H6K362</t>
        </is>
      </c>
      <c r="B244" s="4" t="inlineStr">
        <is>
          <t>Colletotrichum plurivorum</t>
        </is>
      </c>
      <c r="C244" s="4" t="inlineStr">
        <is>
          <t>Type iii polyketide synthase</t>
        </is>
      </c>
      <c r="D244" s="4" t="inlineStr">
        <is>
          <t>True</t>
        </is>
      </c>
      <c r="E244" s="4" t="inlineStr">
        <is>
          <t>CTCSLFFDLHNSP</t>
        </is>
      </c>
      <c r="F244" s="4" t="n">
        <v>6</v>
      </c>
      <c r="G244" s="4" t="inlineStr"/>
      <c r="H244" s="4" t="n"/>
      <c r="I244" s="4" t="n"/>
      <c r="J244" s="4" t="n"/>
      <c r="K244" s="4" t="inlineStr"/>
    </row>
    <row r="245">
      <c r="A245" s="4" t="inlineStr">
        <is>
          <t>A0A8H6YAK7</t>
        </is>
      </c>
      <c r="B245" s="4" t="inlineStr">
        <is>
          <t>Mycena sanguinolenta</t>
        </is>
      </c>
      <c r="C245" s="4" t="inlineStr">
        <is>
          <t>Type III polyketide synthase</t>
        </is>
      </c>
      <c r="D245" s="4" t="inlineStr">
        <is>
          <t>True</t>
        </is>
      </c>
      <c r="E245" s="4" t="inlineStr">
        <is>
          <t>CTCAMFIDLHNSP</t>
        </is>
      </c>
      <c r="F245" s="4" t="n">
        <v>6</v>
      </c>
      <c r="G245" s="4" t="inlineStr"/>
      <c r="H245" s="4" t="n"/>
      <c r="I245" s="4" t="n"/>
      <c r="J245" s="4" t="n"/>
      <c r="K245" s="4" t="inlineStr"/>
    </row>
    <row r="246">
      <c r="A246" s="3" t="inlineStr">
        <is>
          <t>A0A8H7TDR2</t>
        </is>
      </c>
      <c r="B246" s="3" t="inlineStr">
        <is>
          <t>Cadophora malorum</t>
        </is>
      </c>
      <c r="C246" s="3" t="inlineStr">
        <is>
          <t>Thiolase-like protein</t>
        </is>
      </c>
      <c r="D246" s="3" t="inlineStr">
        <is>
          <t>True</t>
        </is>
      </c>
      <c r="E246" s="3" t="inlineStr">
        <is>
          <t>CTCSLFFDLHNSP</t>
        </is>
      </c>
      <c r="F246" s="3" t="n">
        <v>6</v>
      </c>
      <c r="G246" s="3" t="inlineStr">
        <is>
          <t>CadPKS</t>
        </is>
      </c>
      <c r="H246" s="3" t="n">
        <v>0.744</v>
      </c>
      <c r="I246" s="3" t="n">
        <v>0</v>
      </c>
      <c r="J246" s="3" t="n">
        <v>0</v>
      </c>
      <c r="K246" s="3" t="inlineStr"/>
    </row>
    <row r="247">
      <c r="A247" s="4" t="inlineStr">
        <is>
          <t>A0A8H7WJU8</t>
        </is>
      </c>
      <c r="B247" s="4" t="inlineStr">
        <is>
          <t>Cadophora malorum</t>
        </is>
      </c>
      <c r="C247" s="4" t="inlineStr">
        <is>
          <t>Uncharacterized protein</t>
        </is>
      </c>
      <c r="D247" s="4" t="inlineStr">
        <is>
          <t>True</t>
        </is>
      </c>
      <c r="E247" s="4" t="inlineStr">
        <is>
          <t>CTCCNFFYLHNSP</t>
        </is>
      </c>
      <c r="F247" s="4" t="n">
        <v>6</v>
      </c>
      <c r="G247" s="4" t="inlineStr"/>
      <c r="H247" s="4" t="n"/>
      <c r="I247" s="4" t="n"/>
      <c r="J247" s="4" t="n"/>
      <c r="K247" s="4" t="inlineStr"/>
    </row>
    <row r="248">
      <c r="A248" s="4" t="inlineStr">
        <is>
          <t>A0A8H8RIC5</t>
        </is>
      </c>
      <c r="B248" s="4" t="inlineStr">
        <is>
          <t>Lachnellula occidentalis</t>
        </is>
      </c>
      <c r="C248" s="4" t="inlineStr">
        <is>
          <t>Putative polyketide synthase</t>
        </is>
      </c>
      <c r="D248" s="4" t="inlineStr">
        <is>
          <t>True</t>
        </is>
      </c>
      <c r="E248" s="4" t="inlineStr">
        <is>
          <t>CTCSLFFDLHNSP</t>
        </is>
      </c>
      <c r="F248" s="4" t="n">
        <v>6</v>
      </c>
      <c r="G248" s="4" t="inlineStr"/>
      <c r="H248" s="4" t="n"/>
      <c r="I248" s="4" t="n"/>
      <c r="J248" s="4" t="n"/>
      <c r="K248" s="4" t="inlineStr"/>
    </row>
    <row r="249">
      <c r="A249" s="4" t="inlineStr">
        <is>
          <t>A0A8H8U224</t>
        </is>
      </c>
      <c r="B249" s="4" t="inlineStr">
        <is>
          <t>Lachnellula hyalina</t>
        </is>
      </c>
      <c r="C249" s="4" t="inlineStr">
        <is>
          <t>Putative polyketide synthase</t>
        </is>
      </c>
      <c r="D249" s="4" t="inlineStr">
        <is>
          <t>True</t>
        </is>
      </c>
      <c r="E249" s="4" t="inlineStr">
        <is>
          <t>CTCSLFFDLHNSP</t>
        </is>
      </c>
      <c r="F249" s="4" t="n">
        <v>6</v>
      </c>
      <c r="G249" s="4" t="inlineStr"/>
      <c r="H249" s="4" t="n"/>
      <c r="I249" s="4" t="n"/>
      <c r="J249" s="4" t="n"/>
      <c r="K249" s="4" t="inlineStr"/>
    </row>
    <row r="250">
      <c r="A250" s="4" t="inlineStr">
        <is>
          <t>A0A8K0QS34</t>
        </is>
      </c>
      <c r="B250" s="4" t="inlineStr">
        <is>
          <t>Paraphoma chrysanthemicola</t>
        </is>
      </c>
      <c r="C250" s="4" t="inlineStr">
        <is>
          <t>Thiolase-like protein</t>
        </is>
      </c>
      <c r="D250" s="4" t="inlineStr">
        <is>
          <t>True</t>
        </is>
      </c>
      <c r="E250" s="4" t="inlineStr">
        <is>
          <t>CTCCFFYMLHNSP</t>
        </is>
      </c>
      <c r="F250" s="4" t="n">
        <v>6</v>
      </c>
      <c r="G250" s="4" t="inlineStr"/>
      <c r="H250" s="4" t="n"/>
      <c r="I250" s="4" t="n"/>
      <c r="J250" s="4" t="n"/>
      <c r="K250" s="4" t="inlineStr"/>
    </row>
    <row r="251">
      <c r="A251" s="4" t="inlineStr">
        <is>
          <t>A0A8K0WPS2</t>
        </is>
      </c>
      <c r="B251" s="4" t="inlineStr">
        <is>
          <t>Stachybotrys elegans</t>
        </is>
      </c>
      <c r="C251" s="4" t="inlineStr">
        <is>
          <t>Type III polyketide Synthase</t>
        </is>
      </c>
      <c r="D251" s="4" t="inlineStr">
        <is>
          <t>True</t>
        </is>
      </c>
      <c r="E251" s="4" t="inlineStr">
        <is>
          <t>CTCVLFFDLHNSP</t>
        </is>
      </c>
      <c r="F251" s="4" t="n">
        <v>6</v>
      </c>
      <c r="G251" s="4" t="inlineStr"/>
      <c r="H251" s="4" t="n"/>
      <c r="I251" s="4" t="n"/>
      <c r="J251" s="4" t="n"/>
      <c r="K251" s="4" t="inlineStr"/>
    </row>
    <row r="252">
      <c r="A252" s="4" t="inlineStr">
        <is>
          <t>A0A8K0WR77</t>
        </is>
      </c>
      <c r="B252" s="4" t="inlineStr">
        <is>
          <t>Stachybotrys elegans</t>
        </is>
      </c>
      <c r="C252" s="4" t="inlineStr">
        <is>
          <t>Thiolase-like protein</t>
        </is>
      </c>
      <c r="D252" s="4" t="inlineStr">
        <is>
          <t>True</t>
        </is>
      </c>
      <c r="E252" s="4" t="inlineStr">
        <is>
          <t>CTCSMFFDLHNSP</t>
        </is>
      </c>
      <c r="F252" s="4" t="n">
        <v>6</v>
      </c>
      <c r="G252" s="4" t="inlineStr"/>
      <c r="H252" s="4" t="n"/>
      <c r="I252" s="4" t="n"/>
      <c r="J252" s="4" t="n"/>
      <c r="K252" s="4" t="inlineStr"/>
    </row>
    <row r="253">
      <c r="A253" s="4" t="inlineStr">
        <is>
          <t>A0A8K0X7W6</t>
        </is>
      </c>
      <c r="B253" s="4" t="inlineStr">
        <is>
          <t>Plectosphaerella cucumerina</t>
        </is>
      </c>
      <c r="C253" s="4" t="inlineStr">
        <is>
          <t>Chalcone and stilbene synthase domain-containing protein</t>
        </is>
      </c>
      <c r="D253" s="4" t="inlineStr">
        <is>
          <t>True</t>
        </is>
      </c>
      <c r="E253" s="4" t="inlineStr">
        <is>
          <t>CTCSMFFDLHNSP</t>
        </is>
      </c>
      <c r="F253" s="4" t="n">
        <v>6</v>
      </c>
      <c r="G253" s="4" t="inlineStr"/>
      <c r="H253" s="4" t="n"/>
      <c r="I253" s="4" t="n"/>
      <c r="J253" s="4" t="n"/>
      <c r="K253" s="4" t="inlineStr"/>
    </row>
    <row r="254">
      <c r="A254" s="4" t="inlineStr">
        <is>
          <t>A0A8T9CL66</t>
        </is>
      </c>
      <c r="B254" s="4" t="inlineStr">
        <is>
          <t>Lachnellula suecica</t>
        </is>
      </c>
      <c r="C254" s="4" t="inlineStr">
        <is>
          <t>Putative polyketide synthase</t>
        </is>
      </c>
      <c r="D254" s="4" t="inlineStr">
        <is>
          <t>True</t>
        </is>
      </c>
      <c r="E254" s="4" t="inlineStr">
        <is>
          <t>CTCSLFFDLHNSP</t>
        </is>
      </c>
      <c r="F254" s="4" t="n">
        <v>6</v>
      </c>
      <c r="G254" s="4" t="inlineStr"/>
      <c r="H254" s="4" t="n"/>
      <c r="I254" s="4" t="n"/>
      <c r="J254" s="4" t="n"/>
      <c r="K254" s="4" t="inlineStr"/>
    </row>
    <row r="255">
      <c r="A255" s="4" t="inlineStr">
        <is>
          <t>A0A9N9LRE5</t>
        </is>
      </c>
      <c r="B255" s="4" t="inlineStr">
        <is>
          <t>Hymenoscyphus albidus</t>
        </is>
      </c>
      <c r="C255" s="4" t="inlineStr">
        <is>
          <t>Thiolase-like protein</t>
        </is>
      </c>
      <c r="D255" s="4" t="inlineStr">
        <is>
          <t>True</t>
        </is>
      </c>
      <c r="E255" s="4" t="inlineStr">
        <is>
          <t>CTCSLFFDLHNSP</t>
        </is>
      </c>
      <c r="F255" s="4" t="n">
        <v>6</v>
      </c>
      <c r="G255" s="4" t="inlineStr"/>
      <c r="H255" s="4" t="n"/>
      <c r="I255" s="4" t="n"/>
      <c r="J255" s="4" t="n"/>
      <c r="K255" s="4" t="inlineStr"/>
    </row>
    <row r="256">
      <c r="A256" s="4" t="inlineStr">
        <is>
          <t>A0A9N9UQ30</t>
        </is>
      </c>
      <c r="B256" s="4" t="inlineStr">
        <is>
          <t>Clonostachys byssicola</t>
        </is>
      </c>
      <c r="C256" s="4" t="inlineStr">
        <is>
          <t>Uncharacterized protein</t>
        </is>
      </c>
      <c r="D256" s="4" t="inlineStr">
        <is>
          <t>True</t>
        </is>
      </c>
      <c r="E256" s="4" t="inlineStr">
        <is>
          <t>CTCCLFFDLHNSP</t>
        </is>
      </c>
      <c r="F256" s="4" t="n">
        <v>6</v>
      </c>
      <c r="G256" s="4" t="inlineStr"/>
      <c r="H256" s="4" t="n"/>
      <c r="I256" s="4" t="n"/>
      <c r="J256" s="4" t="n"/>
      <c r="K256" s="4" t="inlineStr"/>
    </row>
    <row r="257">
      <c r="A257" s="4" t="inlineStr">
        <is>
          <t>A0A9N9V0Z9</t>
        </is>
      </c>
      <c r="B257" s="4" t="inlineStr">
        <is>
          <t>Clonostachys rhizophaga</t>
        </is>
      </c>
      <c r="C257" s="4" t="inlineStr">
        <is>
          <t>Uncharacterized protein</t>
        </is>
      </c>
      <c r="D257" s="4" t="inlineStr">
        <is>
          <t>True</t>
        </is>
      </c>
      <c r="E257" s="4" t="inlineStr">
        <is>
          <t>CTCSLFFNLHNSP</t>
        </is>
      </c>
      <c r="F257" s="4" t="n">
        <v>6</v>
      </c>
      <c r="G257" s="4" t="inlineStr"/>
      <c r="H257" s="4" t="n"/>
      <c r="I257" s="4" t="n"/>
      <c r="J257" s="4" t="n"/>
      <c r="K257" s="4" t="inlineStr"/>
    </row>
    <row r="258">
      <c r="A258" s="4" t="inlineStr">
        <is>
          <t>A0A9N9YTI3</t>
        </is>
      </c>
      <c r="B258" s="4" t="inlineStr">
        <is>
          <t>Clonostachys rhizophaga</t>
        </is>
      </c>
      <c r="C258" s="4" t="inlineStr">
        <is>
          <t>Uncharacterized protein</t>
        </is>
      </c>
      <c r="D258" s="4" t="inlineStr">
        <is>
          <t>True</t>
        </is>
      </c>
      <c r="E258" s="4" t="inlineStr">
        <is>
          <t>CTCCLFFNLHNSP</t>
        </is>
      </c>
      <c r="F258" s="4" t="n">
        <v>6</v>
      </c>
      <c r="G258" s="4" t="inlineStr"/>
      <c r="H258" s="4" t="n"/>
      <c r="I258" s="4" t="n"/>
      <c r="J258" s="4" t="n"/>
      <c r="K258" s="4" t="inlineStr"/>
    </row>
    <row r="259">
      <c r="A259" s="4" t="inlineStr">
        <is>
          <t>A0A9N9YWV8</t>
        </is>
      </c>
      <c r="B259" s="4" t="inlineStr">
        <is>
          <t>Clonostachys solani</t>
        </is>
      </c>
      <c r="C259" s="4" t="inlineStr">
        <is>
          <t>Uncharacterized protein</t>
        </is>
      </c>
      <c r="D259" s="4" t="inlineStr">
        <is>
          <t>True</t>
        </is>
      </c>
      <c r="E259" s="4" t="inlineStr">
        <is>
          <t>CTCCLFFDLHNSP</t>
        </is>
      </c>
      <c r="F259" s="4" t="n">
        <v>6</v>
      </c>
      <c r="G259" s="4" t="inlineStr"/>
      <c r="H259" s="4" t="n"/>
      <c r="I259" s="4" t="n"/>
      <c r="J259" s="4" t="n"/>
      <c r="K259" s="4" t="inlineStr"/>
    </row>
    <row r="260">
      <c r="A260" s="4" t="inlineStr">
        <is>
          <t>A0A9P3L7Y5</t>
        </is>
      </c>
      <c r="B260" s="4" t="inlineStr">
        <is>
          <t>Phanerochaete sordida</t>
        </is>
      </c>
      <c r="C260" s="4" t="inlineStr">
        <is>
          <t>Type III polyketide synthase</t>
        </is>
      </c>
      <c r="D260" s="4" t="inlineStr">
        <is>
          <t>True</t>
        </is>
      </c>
      <c r="E260" s="4" t="inlineStr">
        <is>
          <t>CTCSLFFDLHNSP</t>
        </is>
      </c>
      <c r="F260" s="4" t="n">
        <v>6</v>
      </c>
      <c r="G260" s="4" t="inlineStr"/>
      <c r="H260" s="4" t="n"/>
      <c r="I260" s="4" t="n"/>
      <c r="J260" s="4" t="n"/>
      <c r="K260" s="4" t="inlineStr"/>
    </row>
    <row r="261">
      <c r="A261" s="4" t="inlineStr">
        <is>
          <t>A0A9P4GV80</t>
        </is>
      </c>
      <c r="B261" s="4" t="inlineStr">
        <is>
          <t>Setomelanomma holmii</t>
        </is>
      </c>
      <c r="C261" s="4" t="inlineStr">
        <is>
          <t>Thiolase-like protein</t>
        </is>
      </c>
      <c r="D261" s="4" t="inlineStr">
        <is>
          <t>True</t>
        </is>
      </c>
      <c r="E261" s="4" t="inlineStr">
        <is>
          <t>CTCCFFYMLHNSP</t>
        </is>
      </c>
      <c r="F261" s="4" t="n">
        <v>6</v>
      </c>
      <c r="G261" s="4" t="inlineStr"/>
      <c r="H261" s="4" t="n"/>
      <c r="I261" s="4" t="n"/>
      <c r="J261" s="4" t="n"/>
      <c r="K261" s="4" t="inlineStr"/>
    </row>
    <row r="262">
      <c r="A262" s="4" t="inlineStr">
        <is>
          <t>A0A9P4JIY5</t>
        </is>
      </c>
      <c r="B262" s="4" t="inlineStr">
        <is>
          <t>Delitschia confertaspora ATCC 74209</t>
        </is>
      </c>
      <c r="C262" s="4" t="inlineStr">
        <is>
          <t>Thiolase-like protein</t>
        </is>
      </c>
      <c r="D262" s="4" t="inlineStr">
        <is>
          <t>True</t>
        </is>
      </c>
      <c r="E262" s="4" t="inlineStr">
        <is>
          <t>CTCCSFFYLHNSP</t>
        </is>
      </c>
      <c r="F262" s="4" t="n">
        <v>6</v>
      </c>
      <c r="G262" s="4" t="inlineStr"/>
      <c r="H262" s="4" t="n"/>
      <c r="I262" s="4" t="n"/>
      <c r="J262" s="4" t="n"/>
      <c r="K262" s="4" t="inlineStr"/>
    </row>
    <row r="263">
      <c r="A263" s="4" t="inlineStr">
        <is>
          <t>A0A9P4KAV5</t>
        </is>
      </c>
      <c r="B263" s="4" t="inlineStr">
        <is>
          <t>Lojkania enalia</t>
        </is>
      </c>
      <c r="C263" s="4" t="inlineStr">
        <is>
          <t>Chalcone synthase B</t>
        </is>
      </c>
      <c r="D263" s="4" t="inlineStr">
        <is>
          <t>True</t>
        </is>
      </c>
      <c r="E263" s="4" t="inlineStr">
        <is>
          <t>CTCCYFYLLHNSP</t>
        </is>
      </c>
      <c r="F263" s="4" t="n">
        <v>6</v>
      </c>
      <c r="G263" s="4" t="inlineStr"/>
      <c r="H263" s="4" t="n"/>
      <c r="I263" s="4" t="n"/>
      <c r="J263" s="4" t="n"/>
      <c r="K263" s="4" t="inlineStr"/>
    </row>
    <row r="264">
      <c r="A264" s="4" t="inlineStr">
        <is>
          <t>A0A9P4XUJ3</t>
        </is>
      </c>
      <c r="B264" s="4" t="inlineStr">
        <is>
          <t>Cryphonectria parasitica (strain ATCC 38755 / EP155)</t>
        </is>
      </c>
      <c r="C264" s="4" t="inlineStr">
        <is>
          <t>Thiolase-like protein (Fragment)</t>
        </is>
      </c>
      <c r="D264" s="4" t="inlineStr">
        <is>
          <t>True</t>
        </is>
      </c>
      <c r="E264" s="4" t="inlineStr">
        <is>
          <t>CTCSFFFDLHNSP</t>
        </is>
      </c>
      <c r="F264" s="4" t="n">
        <v>6</v>
      </c>
      <c r="G264" s="4" t="inlineStr"/>
      <c r="H264" s="4" t="n"/>
      <c r="I264" s="4" t="n"/>
      <c r="J264" s="4" t="n"/>
      <c r="K264" s="4" t="inlineStr"/>
    </row>
    <row r="265">
      <c r="A265" s="4" t="inlineStr">
        <is>
          <t>A0A9P5E2B7</t>
        </is>
      </c>
      <c r="B265" s="4" t="inlineStr">
        <is>
          <t>Fusarium beomiforme</t>
        </is>
      </c>
      <c r="C265" s="4" t="inlineStr">
        <is>
          <t>Stilbene synthase 2</t>
        </is>
      </c>
      <c r="D265" s="4" t="inlineStr">
        <is>
          <t>True</t>
        </is>
      </c>
      <c r="E265" s="4" t="inlineStr">
        <is>
          <t>CTCSMFFDLHNSP</t>
        </is>
      </c>
      <c r="F265" s="4" t="n">
        <v>6</v>
      </c>
      <c r="G265" s="4" t="inlineStr">
        <is>
          <t>FmanPKS</t>
        </is>
      </c>
      <c r="H265" s="4" t="n">
        <v>0.658</v>
      </c>
      <c r="I265" s="4" t="n">
        <v>0</v>
      </c>
      <c r="J265" s="4" t="n">
        <v>0</v>
      </c>
      <c r="K265" s="4" t="inlineStr"/>
    </row>
    <row r="266">
      <c r="A266" s="4" t="inlineStr">
        <is>
          <t>A0A9P5LAY7</t>
        </is>
      </c>
      <c r="B266" s="4" t="inlineStr">
        <is>
          <t>Cylindrodendrum hubeiense</t>
        </is>
      </c>
      <c r="C266" s="4" t="inlineStr">
        <is>
          <t>Uncharacterized protein</t>
        </is>
      </c>
      <c r="D266" s="4" t="inlineStr">
        <is>
          <t>True</t>
        </is>
      </c>
      <c r="E266" s="4" t="inlineStr">
        <is>
          <t>CTCSMFFDLHNSP</t>
        </is>
      </c>
      <c r="F266" s="4" t="n">
        <v>6</v>
      </c>
      <c r="G266" s="4" t="inlineStr"/>
      <c r="H266" s="4" t="n"/>
      <c r="I266" s="4" t="n"/>
      <c r="J266" s="4" t="n"/>
      <c r="K266" s="4" t="inlineStr"/>
    </row>
    <row r="267">
      <c r="A267" s="4" t="inlineStr">
        <is>
          <t>A0A9P6LK89</t>
        </is>
      </c>
      <c r="B267" s="4" t="inlineStr">
        <is>
          <t>Colletotrichum karsti</t>
        </is>
      </c>
      <c r="C267" s="4" t="inlineStr">
        <is>
          <t>Stilbene synthase 3</t>
        </is>
      </c>
      <c r="D267" s="4" t="inlineStr">
        <is>
          <t>True</t>
        </is>
      </c>
      <c r="E267" s="4" t="inlineStr">
        <is>
          <t>CTCSLFFDLHNSP</t>
        </is>
      </c>
      <c r="F267" s="4" t="n">
        <v>6</v>
      </c>
      <c r="G267" s="4" t="inlineStr"/>
      <c r="H267" s="4" t="n"/>
      <c r="I267" s="4" t="n"/>
      <c r="J267" s="4" t="n"/>
      <c r="K267" s="4" t="inlineStr"/>
    </row>
    <row r="268">
      <c r="A268" s="4" t="inlineStr">
        <is>
          <t>A0A9P7H923</t>
        </is>
      </c>
      <c r="B268" s="4" t="inlineStr">
        <is>
          <t>Fusarium avenaceum</t>
        </is>
      </c>
      <c r="C268" s="4" t="inlineStr">
        <is>
          <t>Uncharacterized protein</t>
        </is>
      </c>
      <c r="D268" s="4" t="inlineStr">
        <is>
          <t>True</t>
        </is>
      </c>
      <c r="E268" s="4" t="inlineStr">
        <is>
          <t>CTCSMFFDLHNSP</t>
        </is>
      </c>
      <c r="F268" s="4" t="n">
        <v>6</v>
      </c>
      <c r="G268" s="4" t="inlineStr"/>
      <c r="H268" s="4" t="n"/>
      <c r="I268" s="4" t="n"/>
      <c r="J268" s="4" t="n"/>
      <c r="K268" s="4" t="inlineStr"/>
    </row>
    <row r="269">
      <c r="A269" s="4" t="inlineStr">
        <is>
          <t>A0A9P7KUI2</t>
        </is>
      </c>
      <c r="B269" s="4" t="inlineStr">
        <is>
          <t>Fusarium avenaceum</t>
        </is>
      </c>
      <c r="C269" s="4" t="inlineStr">
        <is>
          <t>Uncharacterized protein</t>
        </is>
      </c>
      <c r="D269" s="4" t="inlineStr">
        <is>
          <t>True</t>
        </is>
      </c>
      <c r="E269" s="4" t="inlineStr">
        <is>
          <t>CTCCLFFDLHNSP</t>
        </is>
      </c>
      <c r="F269" s="4" t="n">
        <v>6</v>
      </c>
      <c r="G269" s="4" t="inlineStr"/>
      <c r="H269" s="4" t="n"/>
      <c r="I269" s="4" t="n"/>
      <c r="J269" s="4" t="n"/>
      <c r="K269" s="4" t="inlineStr"/>
    </row>
    <row r="270">
      <c r="A270" s="4" t="inlineStr">
        <is>
          <t>A0A9P7YD03</t>
        </is>
      </c>
      <c r="B270" s="4" t="inlineStr">
        <is>
          <t>Amylocarpus encephaloides</t>
        </is>
      </c>
      <c r="C270" s="4" t="inlineStr">
        <is>
          <t>Thiolase-like protein</t>
        </is>
      </c>
      <c r="D270" s="4" t="inlineStr">
        <is>
          <t>True</t>
        </is>
      </c>
      <c r="E270" s="4" t="inlineStr">
        <is>
          <t>CTCSLFFDLHNSP</t>
        </is>
      </c>
      <c r="F270" s="4" t="n">
        <v>6</v>
      </c>
      <c r="G270" s="4" t="inlineStr"/>
      <c r="H270" s="4" t="n"/>
      <c r="I270" s="4" t="n"/>
      <c r="J270" s="4" t="n"/>
      <c r="K270" s="4" t="inlineStr"/>
    </row>
    <row r="271">
      <c r="A271" s="4" t="inlineStr">
        <is>
          <t>A0A9P7Z1D1</t>
        </is>
      </c>
      <c r="B271" s="4" t="inlineStr">
        <is>
          <t>Calycina marina</t>
        </is>
      </c>
      <c r="C271" s="4" t="inlineStr">
        <is>
          <t>Thiolase-like protein</t>
        </is>
      </c>
      <c r="D271" s="4" t="inlineStr">
        <is>
          <t>True</t>
        </is>
      </c>
      <c r="E271" s="4" t="inlineStr">
        <is>
          <t>CTCSLFFDLHNSP</t>
        </is>
      </c>
      <c r="F271" s="4" t="n">
        <v>6</v>
      </c>
      <c r="G271" s="4" t="inlineStr"/>
      <c r="H271" s="4" t="n"/>
      <c r="I271" s="4" t="n"/>
      <c r="J271" s="4" t="n"/>
      <c r="K271" s="4" t="inlineStr"/>
    </row>
    <row r="272">
      <c r="A272" s="4" t="inlineStr">
        <is>
          <t>A0A9P7ZGE5</t>
        </is>
      </c>
      <c r="B272" s="4" t="inlineStr">
        <is>
          <t>Emericellopsis atlantica</t>
        </is>
      </c>
      <c r="C272" s="4" t="inlineStr">
        <is>
          <t>Thiolase-like protein</t>
        </is>
      </c>
      <c r="D272" s="4" t="inlineStr">
        <is>
          <t>True</t>
        </is>
      </c>
      <c r="E272" s="4" t="inlineStr">
        <is>
          <t>CTCSLFFDLHNSP</t>
        </is>
      </c>
      <c r="F272" s="4" t="n">
        <v>6</v>
      </c>
      <c r="G272" s="4" t="inlineStr"/>
      <c r="H272" s="4" t="n"/>
      <c r="I272" s="4" t="n"/>
      <c r="J272" s="4" t="n"/>
      <c r="K272" s="4" t="inlineStr"/>
    </row>
    <row r="273">
      <c r="A273" s="4" t="inlineStr">
        <is>
          <t>A0A9P8UDJ0</t>
        </is>
      </c>
      <c r="B273" s="4" t="inlineStr">
        <is>
          <t>Truncatella angustata</t>
        </is>
      </c>
      <c r="C273" s="4" t="inlineStr">
        <is>
          <t>Thiolase-like protein</t>
        </is>
      </c>
      <c r="D273" s="4" t="inlineStr">
        <is>
          <t>True</t>
        </is>
      </c>
      <c r="E273" s="4" t="inlineStr">
        <is>
          <t>CTCSLFFDLHNSP</t>
        </is>
      </c>
      <c r="F273" s="4" t="n">
        <v>6</v>
      </c>
      <c r="G273" s="4" t="inlineStr"/>
      <c r="H273" s="4" t="n"/>
      <c r="I273" s="4" t="n"/>
      <c r="J273" s="4" t="n"/>
      <c r="K273" s="4" t="inlineStr"/>
    </row>
    <row r="274">
      <c r="A274" s="4" t="inlineStr">
        <is>
          <t>A0A9P8YIF2</t>
        </is>
      </c>
      <c r="B274" s="4" t="inlineStr">
        <is>
          <t>Microdochium trichocladiopsis</t>
        </is>
      </c>
      <c r="C274" s="4" t="inlineStr">
        <is>
          <t>Chalcone and stilbene synthase domain-containing protein</t>
        </is>
      </c>
      <c r="D274" s="4" t="inlineStr">
        <is>
          <t>True</t>
        </is>
      </c>
      <c r="E274" s="4" t="inlineStr">
        <is>
          <t>CTCSLFFQLHNSP</t>
        </is>
      </c>
      <c r="F274" s="4" t="n">
        <v>6</v>
      </c>
      <c r="G274" s="4" t="inlineStr"/>
      <c r="H274" s="4" t="n"/>
      <c r="I274" s="4" t="n"/>
      <c r="J274" s="4" t="n"/>
      <c r="K274" s="4" t="inlineStr"/>
    </row>
    <row r="275">
      <c r="A275" s="4" t="inlineStr">
        <is>
          <t>A0A9P9A9I0</t>
        </is>
      </c>
      <c r="B275" s="4" t="inlineStr">
        <is>
          <t>Plectosphaerella plurivora</t>
        </is>
      </c>
      <c r="C275" s="4" t="inlineStr">
        <is>
          <t>Chalcone and stilbene synthase domain-containing protein</t>
        </is>
      </c>
      <c r="D275" s="4" t="inlineStr">
        <is>
          <t>True</t>
        </is>
      </c>
      <c r="E275" s="4" t="inlineStr">
        <is>
          <t>CTCSMFFDLHNSP</t>
        </is>
      </c>
      <c r="F275" s="4" t="n">
        <v>6</v>
      </c>
      <c r="G275" s="4" t="inlineStr"/>
      <c r="H275" s="4" t="n"/>
      <c r="I275" s="4" t="n"/>
      <c r="J275" s="4" t="n"/>
      <c r="K275" s="4" t="inlineStr"/>
    </row>
    <row r="276">
      <c r="A276" s="4" t="inlineStr">
        <is>
          <t>A0A9P9ATH1</t>
        </is>
      </c>
      <c r="B276" s="4" t="inlineStr">
        <is>
          <t>Thelonectria olida</t>
        </is>
      </c>
      <c r="C276" s="4" t="inlineStr">
        <is>
          <t>Thiolase-like protein</t>
        </is>
      </c>
      <c r="D276" s="4" t="inlineStr">
        <is>
          <t>True</t>
        </is>
      </c>
      <c r="E276" s="4" t="inlineStr">
        <is>
          <t>CTCSMFFDLHNSP</t>
        </is>
      </c>
      <c r="F276" s="4" t="n">
        <v>6</v>
      </c>
      <c r="G276" s="4" t="inlineStr"/>
      <c r="H276" s="4" t="n"/>
      <c r="I276" s="4" t="n"/>
      <c r="J276" s="4" t="n"/>
      <c r="K276" s="4" t="inlineStr"/>
    </row>
    <row r="277">
      <c r="A277" s="4" t="inlineStr">
        <is>
          <t>A0A9P9BM44</t>
        </is>
      </c>
      <c r="B277" s="4" t="inlineStr">
        <is>
          <t>Microdochium trichocladiopsis</t>
        </is>
      </c>
      <c r="C277" s="4" t="inlineStr">
        <is>
          <t>Chalcone and stilbene synthase domain-containing protein</t>
        </is>
      </c>
      <c r="D277" s="4" t="inlineStr">
        <is>
          <t>True</t>
        </is>
      </c>
      <c r="E277" s="4" t="inlineStr">
        <is>
          <t>CTCNLFFDLHNSP</t>
        </is>
      </c>
      <c r="F277" s="4" t="n">
        <v>6</v>
      </c>
      <c r="G277" s="4" t="inlineStr"/>
      <c r="H277" s="4" t="n"/>
      <c r="I277" s="4" t="n"/>
      <c r="J277" s="4" t="n"/>
      <c r="K277" s="4" t="inlineStr"/>
    </row>
    <row r="278">
      <c r="A278" s="4" t="inlineStr">
        <is>
          <t>A0A9P9JMZ2</t>
        </is>
      </c>
      <c r="B278" s="4" t="inlineStr">
        <is>
          <t>Dactylonectria macrodidyma</t>
        </is>
      </c>
      <c r="C278" s="4" t="inlineStr">
        <is>
          <t>Thiolase-like protein</t>
        </is>
      </c>
      <c r="D278" s="4" t="inlineStr">
        <is>
          <t>True</t>
        </is>
      </c>
      <c r="E278" s="4" t="inlineStr">
        <is>
          <t>CTCSMFFDLHNSP</t>
        </is>
      </c>
      <c r="F278" s="4" t="n">
        <v>6</v>
      </c>
      <c r="G278" s="4" t="inlineStr"/>
      <c r="H278" s="4" t="n"/>
      <c r="I278" s="4" t="n"/>
      <c r="J278" s="4" t="n"/>
      <c r="K278" s="4" t="inlineStr"/>
    </row>
    <row r="279">
      <c r="A279" s="4" t="inlineStr">
        <is>
          <t>A0A9P9WX08</t>
        </is>
      </c>
      <c r="B279" s="4" t="inlineStr">
        <is>
          <t>Neoarthrinium moseri</t>
        </is>
      </c>
      <c r="C279" s="4" t="inlineStr">
        <is>
          <t>Uncharacterized protein</t>
        </is>
      </c>
      <c r="D279" s="4" t="inlineStr">
        <is>
          <t>True</t>
        </is>
      </c>
      <c r="E279" s="4" t="inlineStr">
        <is>
          <t>CTCSMFFDLHNSP</t>
        </is>
      </c>
      <c r="F279" s="4" t="n">
        <v>6</v>
      </c>
      <c r="G279" s="4" t="inlineStr"/>
      <c r="H279" s="4" t="n"/>
      <c r="I279" s="4" t="n"/>
      <c r="J279" s="4" t="n"/>
      <c r="K279" s="4" t="inlineStr"/>
    </row>
    <row r="280">
      <c r="A280" s="4" t="inlineStr">
        <is>
          <t>A0A9Q8QUG0</t>
        </is>
      </c>
      <c r="B280" s="4" t="inlineStr">
        <is>
          <t>Purpureocillium takamizusanense</t>
        </is>
      </c>
      <c r="C280" s="4" t="inlineStr">
        <is>
          <t>Type III polyketide synthase</t>
        </is>
      </c>
      <c r="D280" s="4" t="inlineStr">
        <is>
          <t>True</t>
        </is>
      </c>
      <c r="E280" s="4" t="inlineStr">
        <is>
          <t>CTCNMFFHLHNGP</t>
        </is>
      </c>
      <c r="F280" s="4" t="n">
        <v>6</v>
      </c>
      <c r="G280" s="4" t="inlineStr"/>
      <c r="H280" s="4" t="n"/>
      <c r="I280" s="4" t="n"/>
      <c r="J280" s="4" t="n"/>
      <c r="K280" s="4" t="inlineStr"/>
    </row>
    <row r="281">
      <c r="A281" s="4" t="inlineStr">
        <is>
          <t>A0A9W4MRE4</t>
        </is>
      </c>
      <c r="B281" s="4" t="inlineStr">
        <is>
          <t>Penicillium olsonii</t>
        </is>
      </c>
      <c r="C281" s="4" t="inlineStr">
        <is>
          <t>Uncharacterized protein</t>
        </is>
      </c>
      <c r="D281" s="4" t="inlineStr">
        <is>
          <t>True</t>
        </is>
      </c>
      <c r="E281" s="4" t="inlineStr">
        <is>
          <t>CTCCNFFYLHNSP</t>
        </is>
      </c>
      <c r="F281" s="4" t="n">
        <v>6</v>
      </c>
      <c r="G281" s="4" t="inlineStr"/>
      <c r="H281" s="4" t="n"/>
      <c r="I281" s="4" t="n"/>
      <c r="J281" s="4" t="n"/>
      <c r="K281" s="4" t="inlineStr"/>
    </row>
    <row r="282">
      <c r="A282" s="4" t="inlineStr">
        <is>
          <t>A0A9W4RN00</t>
        </is>
      </c>
      <c r="B282" s="4" t="inlineStr">
        <is>
          <t>Colletotrichum noveboracense</t>
        </is>
      </c>
      <c r="C282" s="4" t="inlineStr">
        <is>
          <t>Uncharacterized protein</t>
        </is>
      </c>
      <c r="D282" s="4" t="inlineStr">
        <is>
          <t>True</t>
        </is>
      </c>
      <c r="E282" s="4" t="inlineStr">
        <is>
          <t>VGCCYFAMIHNGP</t>
        </is>
      </c>
      <c r="F282" s="4" t="n">
        <v>6</v>
      </c>
      <c r="G282" s="4" t="inlineStr"/>
      <c r="H282" s="4" t="n"/>
      <c r="I282" s="4" t="n"/>
      <c r="J282" s="4" t="n"/>
      <c r="K282" s="4" t="inlineStr"/>
    </row>
    <row r="283">
      <c r="A283" s="4" t="inlineStr">
        <is>
          <t>A0A9W8RJV8</t>
        </is>
      </c>
      <c r="B283" s="4" t="inlineStr">
        <is>
          <t>Fusarium torreyae</t>
        </is>
      </c>
      <c r="C283" s="4" t="inlineStr">
        <is>
          <t>Uncharacterized protein</t>
        </is>
      </c>
      <c r="D283" s="4" t="inlineStr">
        <is>
          <t>True</t>
        </is>
      </c>
      <c r="E283" s="4" t="inlineStr">
        <is>
          <t>CTCCLFFDLHNSP</t>
        </is>
      </c>
      <c r="F283" s="4" t="n">
        <v>6</v>
      </c>
      <c r="G283" s="4" t="inlineStr"/>
      <c r="H283" s="4" t="n"/>
      <c r="I283" s="4" t="n"/>
      <c r="J283" s="4" t="n"/>
      <c r="K283" s="4" t="inlineStr"/>
    </row>
    <row r="284">
      <c r="A284" s="4" t="inlineStr">
        <is>
          <t>A0A9W8TRR6</t>
        </is>
      </c>
      <c r="B284" s="4" t="inlineStr">
        <is>
          <t>Xylaria arbuscula</t>
        </is>
      </c>
      <c r="C284" s="4" t="inlineStr">
        <is>
          <t>Uncharacterized protein</t>
        </is>
      </c>
      <c r="D284" s="4" t="inlineStr">
        <is>
          <t>True</t>
        </is>
      </c>
      <c r="E284" s="4" t="inlineStr">
        <is>
          <t>CTCSLFFDLHNSP</t>
        </is>
      </c>
      <c r="F284" s="4" t="n">
        <v>6</v>
      </c>
      <c r="G284" s="4" t="inlineStr"/>
      <c r="H284" s="4" t="n"/>
      <c r="I284" s="4" t="n"/>
      <c r="J284" s="4" t="n"/>
      <c r="K284" s="4" t="inlineStr"/>
    </row>
    <row r="285">
      <c r="A285" s="4" t="inlineStr">
        <is>
          <t>A0A9W8U8Q1</t>
        </is>
      </c>
      <c r="B285" s="4" t="inlineStr">
        <is>
          <t>Fusarium irregulare</t>
        </is>
      </c>
      <c r="C285" s="4" t="inlineStr">
        <is>
          <t>Polyketide synthase</t>
        </is>
      </c>
      <c r="D285" s="4" t="inlineStr">
        <is>
          <t>True</t>
        </is>
      </c>
      <c r="E285" s="4" t="inlineStr">
        <is>
          <t>GTCTNFCLMHNAP</t>
        </is>
      </c>
      <c r="F285" s="4" t="n">
        <v>6</v>
      </c>
      <c r="G285" s="4" t="inlineStr"/>
      <c r="H285" s="4" t="n"/>
      <c r="I285" s="4" t="n"/>
      <c r="J285" s="4" t="n"/>
      <c r="K285" s="4" t="inlineStr"/>
    </row>
    <row r="286">
      <c r="A286" s="4" t="inlineStr">
        <is>
          <t>A0A9W8W6M8</t>
        </is>
      </c>
      <c r="B286" s="4" t="inlineStr">
        <is>
          <t>Fusarium piperis</t>
        </is>
      </c>
      <c r="C286" s="4" t="inlineStr">
        <is>
          <t>Uncharacterized protein</t>
        </is>
      </c>
      <c r="D286" s="4" t="inlineStr">
        <is>
          <t>True</t>
        </is>
      </c>
      <c r="E286" s="4" t="inlineStr">
        <is>
          <t>CTCSLFFDLHNSP</t>
        </is>
      </c>
      <c r="F286" s="4" t="n">
        <v>6</v>
      </c>
      <c r="G286" s="4" t="inlineStr"/>
      <c r="H286" s="4" t="n"/>
      <c r="I286" s="4" t="n"/>
      <c r="J286" s="4" t="n"/>
      <c r="K286" s="4" t="inlineStr"/>
    </row>
    <row r="287">
      <c r="A287" s="4" t="inlineStr">
        <is>
          <t>A0A9W8YXS9</t>
        </is>
      </c>
      <c r="B287" s="4" t="inlineStr">
        <is>
          <t>Gnomoniopsis smithogilvyi</t>
        </is>
      </c>
      <c r="C287" s="4" t="inlineStr">
        <is>
          <t>Uncharacterized protein</t>
        </is>
      </c>
      <c r="D287" s="4" t="inlineStr">
        <is>
          <t>True</t>
        </is>
      </c>
      <c r="E287" s="4" t="inlineStr">
        <is>
          <t>CTCSLFFDLHNSP</t>
        </is>
      </c>
      <c r="F287" s="4" t="n">
        <v>6</v>
      </c>
      <c r="G287" s="4" t="inlineStr"/>
      <c r="H287" s="4" t="n"/>
      <c r="I287" s="4" t="n"/>
      <c r="J287" s="4" t="n"/>
      <c r="K287" s="4" t="inlineStr"/>
    </row>
    <row r="288">
      <c r="A288" s="4" t="inlineStr">
        <is>
          <t>A0A9W9FB46</t>
        </is>
      </c>
      <c r="B288" s="4" t="inlineStr">
        <is>
          <t>Penicillium angulare</t>
        </is>
      </c>
      <c r="C288" s="4" t="inlineStr">
        <is>
          <t>Chalcone synthase B</t>
        </is>
      </c>
      <c r="D288" s="4" t="inlineStr">
        <is>
          <t>True</t>
        </is>
      </c>
      <c r="E288" s="4" t="inlineStr">
        <is>
          <t>ATCCYFYKLHNSP</t>
        </is>
      </c>
      <c r="F288" s="4" t="n">
        <v>6</v>
      </c>
      <c r="G288" s="4" t="inlineStr"/>
      <c r="H288" s="4" t="n"/>
      <c r="I288" s="4" t="n"/>
      <c r="J288" s="4" t="n"/>
      <c r="K288" s="4" t="inlineStr"/>
    </row>
    <row r="289">
      <c r="A289" s="4" t="inlineStr">
        <is>
          <t>A0A9W9J1X0</t>
        </is>
      </c>
      <c r="B289" s="4" t="inlineStr">
        <is>
          <t>Penicillium cf. griseofulvum</t>
        </is>
      </c>
      <c r="C289" s="4" t="inlineStr">
        <is>
          <t>Thiolase-like protein</t>
        </is>
      </c>
      <c r="D289" s="4" t="inlineStr">
        <is>
          <t>True</t>
        </is>
      </c>
      <c r="E289" s="4" t="inlineStr">
        <is>
          <t>CTCCNFFYLHNSP</t>
        </is>
      </c>
      <c r="F289" s="4" t="n">
        <v>6</v>
      </c>
      <c r="G289" s="4" t="inlineStr"/>
      <c r="H289" s="4" t="n"/>
      <c r="I289" s="4" t="n"/>
      <c r="J289" s="4" t="n"/>
      <c r="K289" s="4" t="inlineStr"/>
    </row>
    <row r="290">
      <c r="A290" s="4" t="inlineStr">
        <is>
          <t>A0A9W9RBM7</t>
        </is>
      </c>
      <c r="B290" s="4" t="inlineStr">
        <is>
          <t>Penicillium brevicompactum</t>
        </is>
      </c>
      <c r="C290" s="4" t="inlineStr">
        <is>
          <t>Uncharacterized protein</t>
        </is>
      </c>
      <c r="D290" s="4" t="inlineStr">
        <is>
          <t>True</t>
        </is>
      </c>
      <c r="E290" s="4" t="inlineStr">
        <is>
          <t>CTCCNFFY-HNSP</t>
        </is>
      </c>
      <c r="F290" s="4" t="n">
        <v>6</v>
      </c>
      <c r="G290" s="4" t="inlineStr"/>
      <c r="H290" s="4" t="n"/>
      <c r="I290" s="4" t="n"/>
      <c r="J290" s="4" t="n"/>
      <c r="K290" s="4" t="inlineStr"/>
    </row>
    <row r="291">
      <c r="A291" s="4" t="inlineStr">
        <is>
          <t>A0A9W9WXD2</t>
        </is>
      </c>
      <c r="B291" s="4" t="inlineStr">
        <is>
          <t>Penicillium desertorum</t>
        </is>
      </c>
      <c r="C291" s="4" t="inlineStr">
        <is>
          <t>Chalcone synthase</t>
        </is>
      </c>
      <c r="D291" s="4" t="inlineStr">
        <is>
          <t>True</t>
        </is>
      </c>
      <c r="E291" s="4" t="inlineStr">
        <is>
          <t>CTCCNFFY-HNSP</t>
        </is>
      </c>
      <c r="F291" s="4" t="n">
        <v>6</v>
      </c>
      <c r="G291" s="4" t="inlineStr"/>
      <c r="H291" s="4" t="n"/>
      <c r="I291" s="4" t="n"/>
      <c r="J291" s="4" t="n"/>
      <c r="K291" s="4" t="inlineStr"/>
    </row>
    <row r="292">
      <c r="A292" s="4" t="inlineStr">
        <is>
          <t>A0A9X9MH45</t>
        </is>
      </c>
      <c r="B292" s="4" t="inlineStr">
        <is>
          <t>Blumeria graminis f. sp. tritici</t>
        </is>
      </c>
      <c r="C292" s="4" t="inlineStr">
        <is>
          <t>Bgt-4974</t>
        </is>
      </c>
      <c r="D292" s="4" t="inlineStr">
        <is>
          <t>True</t>
        </is>
      </c>
      <c r="E292" s="4" t="inlineStr">
        <is>
          <t>CTCCLFFDLHNSP</t>
        </is>
      </c>
      <c r="F292" s="4" t="n">
        <v>6</v>
      </c>
      <c r="G292" s="4" t="inlineStr"/>
      <c r="H292" s="4" t="n"/>
      <c r="I292" s="4" t="n"/>
      <c r="J292" s="4" t="n"/>
      <c r="K292" s="4" t="inlineStr"/>
    </row>
    <row r="293">
      <c r="A293" s="4" t="inlineStr">
        <is>
          <t>A0AA38R120</t>
        </is>
      </c>
      <c r="B293" s="4" t="inlineStr">
        <is>
          <t>Coniochaeta hoffmannii</t>
        </is>
      </c>
      <c r="C293" s="4" t="inlineStr">
        <is>
          <t>Thiolase-like protein</t>
        </is>
      </c>
      <c r="D293" s="4" t="inlineStr">
        <is>
          <t>True</t>
        </is>
      </c>
      <c r="E293" s="4" t="inlineStr">
        <is>
          <t>CTCSMFFDLHNSP</t>
        </is>
      </c>
      <c r="F293" s="4" t="n">
        <v>6</v>
      </c>
      <c r="G293" s="4" t="inlineStr"/>
      <c r="H293" s="4" t="n"/>
      <c r="I293" s="4" t="n"/>
      <c r="J293" s="4" t="n"/>
      <c r="K293" s="4" t="inlineStr"/>
    </row>
    <row r="294">
      <c r="A294" s="4" t="inlineStr">
        <is>
          <t>A0AA38RV88</t>
        </is>
      </c>
      <c r="B294" s="4" t="inlineStr">
        <is>
          <t>Pleurostoma richardsiae</t>
        </is>
      </c>
      <c r="C294" s="4" t="inlineStr">
        <is>
          <t>Chalcone and stilbene synthase</t>
        </is>
      </c>
      <c r="D294" s="4" t="inlineStr">
        <is>
          <t>True</t>
        </is>
      </c>
      <c r="E294" s="4" t="inlineStr">
        <is>
          <t>CTCSLFFDLHNSP</t>
        </is>
      </c>
      <c r="F294" s="4" t="n">
        <v>6</v>
      </c>
      <c r="G294" s="4" t="inlineStr"/>
      <c r="H294" s="4" t="n"/>
      <c r="I294" s="4" t="n"/>
      <c r="J294" s="4" t="n"/>
      <c r="K294" s="4" t="inlineStr"/>
    </row>
    <row r="295">
      <c r="A295" s="4" t="inlineStr">
        <is>
          <t>A0AA39CQ38</t>
        </is>
      </c>
      <c r="B295" s="4" t="inlineStr">
        <is>
          <t>Cladophialophora chaetospira</t>
        </is>
      </c>
      <c r="C295" s="4" t="inlineStr">
        <is>
          <t>Chalcone synthase</t>
        </is>
      </c>
      <c r="D295" s="4" t="inlineStr">
        <is>
          <t>True</t>
        </is>
      </c>
      <c r="E295" s="4" t="inlineStr">
        <is>
          <t>CTCSLFFDLHNSP</t>
        </is>
      </c>
      <c r="F295" s="4" t="n">
        <v>6</v>
      </c>
      <c r="G295" s="4" t="inlineStr"/>
      <c r="H295" s="4" t="n"/>
      <c r="I295" s="4" t="n"/>
      <c r="J295" s="4" t="n"/>
      <c r="K295" s="4" t="inlineStr"/>
    </row>
    <row r="296">
      <c r="A296" s="4" t="inlineStr">
        <is>
          <t>A0AA39G8Y3</t>
        </is>
      </c>
      <c r="B296" s="4" t="inlineStr">
        <is>
          <t>Sarocladium strictum</t>
        </is>
      </c>
      <c r="C296" s="4" t="inlineStr">
        <is>
          <t>Uncharacterized protein</t>
        </is>
      </c>
      <c r="D296" s="4" t="inlineStr">
        <is>
          <t>True</t>
        </is>
      </c>
      <c r="E296" s="4" t="inlineStr">
        <is>
          <t>CTCSLFFDLHNSP</t>
        </is>
      </c>
      <c r="F296" s="4" t="n">
        <v>6</v>
      </c>
      <c r="G296" s="4" t="inlineStr"/>
      <c r="H296" s="4" t="n"/>
      <c r="I296" s="4" t="n"/>
      <c r="J296" s="4" t="n"/>
      <c r="K296" s="4" t="inlineStr"/>
    </row>
    <row r="297">
      <c r="A297" s="4" t="inlineStr">
        <is>
          <t>A0AA39QX65</t>
        </is>
      </c>
      <c r="B297" s="4" t="inlineStr">
        <is>
          <t>Cladonia borealis</t>
        </is>
      </c>
      <c r="C297" s="4" t="inlineStr">
        <is>
          <t>Uncharacterized protein</t>
        </is>
      </c>
      <c r="D297" s="4" t="inlineStr">
        <is>
          <t>True</t>
        </is>
      </c>
      <c r="E297" s="4" t="inlineStr">
        <is>
          <t>CTCCNFFMLHNSP</t>
        </is>
      </c>
      <c r="F297" s="4" t="n">
        <v>6</v>
      </c>
      <c r="G297" s="4" t="inlineStr"/>
      <c r="H297" s="4" t="n"/>
      <c r="I297" s="4" t="n"/>
      <c r="J297" s="4" t="n"/>
      <c r="K297" s="4" t="inlineStr"/>
    </row>
    <row r="298">
      <c r="A298" s="4" t="inlineStr">
        <is>
          <t>A0AA39R1E1</t>
        </is>
      </c>
      <c r="B298" s="4" t="inlineStr">
        <is>
          <t>Cladonia borealis</t>
        </is>
      </c>
      <c r="C298" s="4" t="inlineStr">
        <is>
          <t>Chalcone synthase</t>
        </is>
      </c>
      <c r="D298" s="4" t="inlineStr">
        <is>
          <t>True</t>
        </is>
      </c>
      <c r="E298" s="4" t="inlineStr">
        <is>
          <t>CTCSLFFDLHNSP</t>
        </is>
      </c>
      <c r="F298" s="4" t="n">
        <v>6</v>
      </c>
      <c r="G298" s="4" t="inlineStr"/>
      <c r="H298" s="4" t="n"/>
      <c r="I298" s="4" t="n"/>
      <c r="J298" s="4" t="n"/>
      <c r="K298" s="4" t="inlineStr"/>
    </row>
    <row r="299">
      <c r="A299" s="4" t="inlineStr">
        <is>
          <t>A0AA39ZJV5</t>
        </is>
      </c>
      <c r="B299" s="4" t="inlineStr">
        <is>
          <t>Cercophora samala</t>
        </is>
      </c>
      <c r="C299" s="4" t="inlineStr">
        <is>
          <t>Thiolase-like protein</t>
        </is>
      </c>
      <c r="D299" s="4" t="inlineStr">
        <is>
          <t>True</t>
        </is>
      </c>
      <c r="E299" s="4" t="inlineStr">
        <is>
          <t>CTCCNFFYLHNSP</t>
        </is>
      </c>
      <c r="F299" s="4" t="n">
        <v>6</v>
      </c>
      <c r="G299" s="4" t="inlineStr"/>
      <c r="H299" s="4" t="n"/>
      <c r="I299" s="4" t="n"/>
      <c r="J299" s="4" t="n"/>
      <c r="K299" s="4" t="inlineStr"/>
    </row>
    <row r="300">
      <c r="A300" s="4" t="inlineStr">
        <is>
          <t>A0AA39ZKT9</t>
        </is>
      </c>
      <c r="B300" s="4" t="inlineStr">
        <is>
          <t>Cercophora samala</t>
        </is>
      </c>
      <c r="C300" s="4" t="inlineStr">
        <is>
          <t>Chalcone synthase</t>
        </is>
      </c>
      <c r="D300" s="4" t="inlineStr">
        <is>
          <t>True</t>
        </is>
      </c>
      <c r="E300" s="4" t="inlineStr">
        <is>
          <t>CTCSMFFDLHNSP</t>
        </is>
      </c>
      <c r="F300" s="4" t="n">
        <v>6</v>
      </c>
      <c r="G300" s="4" t="inlineStr"/>
      <c r="H300" s="4" t="n"/>
      <c r="I300" s="4" t="n"/>
      <c r="J300" s="4" t="n"/>
      <c r="K300" s="4" t="inlineStr"/>
    </row>
    <row r="301">
      <c r="A301" s="4" t="inlineStr">
        <is>
          <t>A0AA40BXD3</t>
        </is>
      </c>
      <c r="B301" s="4" t="inlineStr">
        <is>
          <t>Immersiella caudata</t>
        </is>
      </c>
      <c r="C301" s="4" t="inlineStr">
        <is>
          <t>Type III polyketide synthase</t>
        </is>
      </c>
      <c r="D301" s="4" t="inlineStr">
        <is>
          <t>True</t>
        </is>
      </c>
      <c r="E301" s="4" t="inlineStr">
        <is>
          <t>CTCSLFFDLHNSP</t>
        </is>
      </c>
      <c r="F301" s="4" t="n">
        <v>6</v>
      </c>
      <c r="G301" s="4" t="inlineStr"/>
      <c r="H301" s="4" t="n"/>
      <c r="I301" s="4" t="n"/>
      <c r="J301" s="4" t="n"/>
      <c r="K301" s="4" t="inlineStr"/>
    </row>
    <row r="302">
      <c r="A302" s="4" t="inlineStr">
        <is>
          <t>A0AA40C8G6</t>
        </is>
      </c>
      <c r="B302" s="4" t="inlineStr">
        <is>
          <t>Bombardia bombarda</t>
        </is>
      </c>
      <c r="C302" s="4" t="inlineStr">
        <is>
          <t>Thiolase-like protein</t>
        </is>
      </c>
      <c r="D302" s="4" t="inlineStr">
        <is>
          <t>True</t>
        </is>
      </c>
      <c r="E302" s="4" t="inlineStr">
        <is>
          <t>CTCSMFFDLHNSP</t>
        </is>
      </c>
      <c r="F302" s="4" t="n">
        <v>6</v>
      </c>
      <c r="G302" s="4" t="inlineStr"/>
      <c r="H302" s="4" t="n"/>
      <c r="I302" s="4" t="n"/>
      <c r="J302" s="4" t="n"/>
      <c r="K302" s="4" t="inlineStr"/>
    </row>
    <row r="303">
      <c r="A303" s="4" t="inlineStr">
        <is>
          <t>A0AA40CKY9</t>
        </is>
      </c>
      <c r="B303" s="4" t="inlineStr">
        <is>
          <t>Cercophora newfieldiana</t>
        </is>
      </c>
      <c r="C303" s="4" t="inlineStr">
        <is>
          <t>Type III polyketide synthase</t>
        </is>
      </c>
      <c r="D303" s="4" t="inlineStr">
        <is>
          <t>True</t>
        </is>
      </c>
      <c r="E303" s="4" t="inlineStr">
        <is>
          <t>CTCSLFFDLHNSP</t>
        </is>
      </c>
      <c r="F303" s="4" t="n">
        <v>6</v>
      </c>
      <c r="G303" s="4" t="inlineStr"/>
      <c r="H303" s="4" t="n"/>
      <c r="I303" s="4" t="n"/>
      <c r="J303" s="4" t="n"/>
      <c r="K303" s="4" t="inlineStr"/>
    </row>
    <row r="304">
      <c r="A304" s="4" t="inlineStr">
        <is>
          <t>A0AA40DKI2</t>
        </is>
      </c>
      <c r="B304" s="4" t="inlineStr">
        <is>
          <t>Apiosordaria backusii</t>
        </is>
      </c>
      <c r="C304" s="4" t="inlineStr">
        <is>
          <t>Thiolase-like protein</t>
        </is>
      </c>
      <c r="D304" s="4" t="inlineStr">
        <is>
          <t>True</t>
        </is>
      </c>
      <c r="E304" s="4" t="inlineStr">
        <is>
          <t>CTCSMFFDLHNSP</t>
        </is>
      </c>
      <c r="F304" s="4" t="n">
        <v>6</v>
      </c>
      <c r="G304" s="4" t="inlineStr"/>
      <c r="H304" s="4" t="n"/>
      <c r="I304" s="4" t="n"/>
      <c r="J304" s="4" t="n"/>
      <c r="K304" s="4" t="inlineStr"/>
    </row>
    <row r="305">
      <c r="A305" s="4" t="inlineStr">
        <is>
          <t>A0AA40DKV8</t>
        </is>
      </c>
      <c r="B305" s="4" t="inlineStr">
        <is>
          <t>Lasiosphaeris hirsuta</t>
        </is>
      </c>
      <c r="C305" s="4" t="inlineStr">
        <is>
          <t>Thiolase-like protein</t>
        </is>
      </c>
      <c r="D305" s="4" t="inlineStr">
        <is>
          <t>True</t>
        </is>
      </c>
      <c r="E305" s="4" t="inlineStr">
        <is>
          <t>CTCSMFFDLHNSP</t>
        </is>
      </c>
      <c r="F305" s="4" t="n">
        <v>6</v>
      </c>
      <c r="G305" s="4" t="inlineStr"/>
      <c r="H305" s="4" t="n"/>
      <c r="I305" s="4" t="n"/>
      <c r="J305" s="4" t="n"/>
      <c r="K305" s="4" t="inlineStr"/>
    </row>
    <row r="306">
      <c r="A306" s="4" t="inlineStr">
        <is>
          <t>A0AA40K2Q8</t>
        </is>
      </c>
      <c r="B306" s="4" t="inlineStr">
        <is>
          <t>Schizothecium vesticola</t>
        </is>
      </c>
      <c r="C306" s="4" t="inlineStr">
        <is>
          <t>Thiolase-like protein</t>
        </is>
      </c>
      <c r="D306" s="4" t="inlineStr">
        <is>
          <t>True</t>
        </is>
      </c>
      <c r="E306" s="4" t="inlineStr">
        <is>
          <t>CTCSLFFDLHNSP</t>
        </is>
      </c>
      <c r="F306" s="4" t="n">
        <v>6</v>
      </c>
      <c r="G306" s="4" t="inlineStr"/>
      <c r="H306" s="4" t="n"/>
      <c r="I306" s="4" t="n"/>
      <c r="J306" s="4" t="n"/>
      <c r="K306" s="4" t="inlineStr"/>
    </row>
    <row r="307">
      <c r="A307" s="4" t="inlineStr">
        <is>
          <t>A0AA43QLY7</t>
        </is>
      </c>
      <c r="B307" s="4" t="inlineStr">
        <is>
          <t>Ramalina farinacea</t>
        </is>
      </c>
      <c r="C307" s="4" t="inlineStr">
        <is>
          <t>Chalcone synthase</t>
        </is>
      </c>
      <c r="D307" s="4" t="inlineStr">
        <is>
          <t>True</t>
        </is>
      </c>
      <c r="E307" s="4" t="inlineStr">
        <is>
          <t>CTCSLFFDLHNSP</t>
        </is>
      </c>
      <c r="F307" s="4" t="n">
        <v>6</v>
      </c>
      <c r="G307" s="4" t="inlineStr"/>
      <c r="H307" s="4" t="n"/>
      <c r="I307" s="4" t="n"/>
      <c r="J307" s="4" t="n"/>
      <c r="K307" s="4" t="inlineStr"/>
    </row>
    <row r="308">
      <c r="A308" s="4" t="inlineStr">
        <is>
          <t>A0AAD4HZA6</t>
        </is>
      </c>
      <c r="B308" s="4" t="inlineStr">
        <is>
          <t>Staphylotrichum longicolle</t>
        </is>
      </c>
      <c r="C308" s="4" t="inlineStr">
        <is>
          <t>Uncharacterized protein</t>
        </is>
      </c>
      <c r="D308" s="4" t="inlineStr">
        <is>
          <t>True</t>
        </is>
      </c>
      <c r="E308" s="4" t="inlineStr">
        <is>
          <t>CTCSLFFDLHNSP</t>
        </is>
      </c>
      <c r="F308" s="4" t="n">
        <v>6</v>
      </c>
      <c r="G308" s="4" t="inlineStr"/>
      <c r="H308" s="4" t="n"/>
      <c r="I308" s="4" t="n"/>
      <c r="J308" s="4" t="n"/>
      <c r="K308" s="4" t="inlineStr"/>
    </row>
    <row r="309">
      <c r="A309" s="4" t="inlineStr">
        <is>
          <t>A0AAD5WY15</t>
        </is>
      </c>
      <c r="B309" s="4" t="inlineStr">
        <is>
          <t>Zalerion maritima</t>
        </is>
      </c>
      <c r="C309" s="4" t="inlineStr">
        <is>
          <t>Chalcone and stilbene synthase</t>
        </is>
      </c>
      <c r="D309" s="4" t="inlineStr">
        <is>
          <t>True</t>
        </is>
      </c>
      <c r="E309" s="4" t="inlineStr">
        <is>
          <t>CTCSMFFDLHNSP</t>
        </is>
      </c>
      <c r="F309" s="4" t="n">
        <v>6</v>
      </c>
      <c r="G309" s="4" t="inlineStr"/>
      <c r="H309" s="4" t="n"/>
      <c r="I309" s="4" t="n"/>
      <c r="J309" s="4" t="n"/>
      <c r="K309" s="4" t="inlineStr"/>
    </row>
    <row r="310">
      <c r="A310" s="4" t="inlineStr">
        <is>
          <t>A0AAD6GJT4</t>
        </is>
      </c>
      <c r="B310" s="4" t="inlineStr">
        <is>
          <t>Penicillium frequentans</t>
        </is>
      </c>
      <c r="C310" s="4" t="inlineStr">
        <is>
          <t>Chalcone synthase B</t>
        </is>
      </c>
      <c r="D310" s="4" t="inlineStr">
        <is>
          <t>True</t>
        </is>
      </c>
      <c r="E310" s="4" t="inlineStr">
        <is>
          <t>ATCCLFDKLHNSP</t>
        </is>
      </c>
      <c r="F310" s="4" t="n">
        <v>6</v>
      </c>
      <c r="G310" s="4" t="inlineStr"/>
      <c r="H310" s="4" t="n"/>
      <c r="I310" s="4" t="n"/>
      <c r="J310" s="4" t="n"/>
      <c r="K310" s="4" t="inlineStr"/>
    </row>
    <row r="311">
      <c r="A311" s="4" t="inlineStr">
        <is>
          <t>A0AAD6IL99</t>
        </is>
      </c>
      <c r="B311" s="4" t="inlineStr">
        <is>
          <t>Penicillium canescens</t>
        </is>
      </c>
      <c r="C311" s="4" t="inlineStr">
        <is>
          <t>Uncharacterized protein</t>
        </is>
      </c>
      <c r="D311" s="4" t="inlineStr">
        <is>
          <t>True</t>
        </is>
      </c>
      <c r="E311" s="4" t="inlineStr">
        <is>
          <t>CTC--FFYLHNSP</t>
        </is>
      </c>
      <c r="F311" s="4" t="n">
        <v>6</v>
      </c>
      <c r="G311" s="4" t="inlineStr"/>
      <c r="H311" s="4" t="n"/>
      <c r="I311" s="4" t="n"/>
      <c r="J311" s="4" t="n"/>
      <c r="K311" s="4" t="inlineStr"/>
    </row>
    <row r="312">
      <c r="A312" s="4" t="inlineStr">
        <is>
          <t>A0AAD6J3S1</t>
        </is>
      </c>
      <c r="B312" s="4" t="inlineStr">
        <is>
          <t>Drechslerella dactyloides</t>
        </is>
      </c>
      <c r="C312" s="4" t="inlineStr">
        <is>
          <t>Uncharacterized protein</t>
        </is>
      </c>
      <c r="D312" s="4" t="inlineStr">
        <is>
          <t>True</t>
        </is>
      </c>
      <c r="E312" s="4" t="inlineStr">
        <is>
          <t>CTCCLFFDLHNSP</t>
        </is>
      </c>
      <c r="F312" s="4" t="n">
        <v>6</v>
      </c>
      <c r="G312" s="4" t="inlineStr"/>
      <c r="H312" s="4" t="n"/>
      <c r="I312" s="4" t="n"/>
      <c r="J312" s="4" t="n"/>
      <c r="K312" s="4" t="inlineStr"/>
    </row>
    <row r="313">
      <c r="A313" s="4" t="inlineStr">
        <is>
          <t>A0AAD7JK17</t>
        </is>
      </c>
      <c r="B313" s="4" t="inlineStr">
        <is>
          <t>Mycena maculata</t>
        </is>
      </c>
      <c r="C313" s="4" t="inlineStr">
        <is>
          <t>Chalcone synthase</t>
        </is>
      </c>
      <c r="D313" s="4" t="inlineStr">
        <is>
          <t>True</t>
        </is>
      </c>
      <c r="E313" s="4" t="inlineStr">
        <is>
          <t>CTCAF-FNIHNSP</t>
        </is>
      </c>
      <c r="F313" s="4" t="n">
        <v>6</v>
      </c>
      <c r="G313" s="4" t="inlineStr"/>
      <c r="H313" s="4" t="n"/>
      <c r="I313" s="4" t="n"/>
      <c r="J313" s="4" t="n"/>
      <c r="K313" s="4" t="inlineStr"/>
    </row>
    <row r="314">
      <c r="A314" s="4" t="inlineStr">
        <is>
          <t>A0AAD9M3D1</t>
        </is>
      </c>
      <c r="B314" s="4" t="inlineStr">
        <is>
          <t>Colletotrichum zoysiae</t>
        </is>
      </c>
      <c r="C314" s="4" t="inlineStr">
        <is>
          <t>Chalcone and stilbene synthase domain-containing protein</t>
        </is>
      </c>
      <c r="D314" s="4" t="inlineStr">
        <is>
          <t>True</t>
        </is>
      </c>
      <c r="E314" s="4" t="inlineStr">
        <is>
          <t>CTCSMFFDLHNSP</t>
        </is>
      </c>
      <c r="F314" s="4" t="n">
        <v>6</v>
      </c>
      <c r="G314" s="4" t="inlineStr"/>
      <c r="H314" s="4" t="n"/>
      <c r="I314" s="4" t="n"/>
      <c r="J314" s="4" t="n"/>
      <c r="K314" s="4" t="inlineStr"/>
    </row>
    <row r="315">
      <c r="A315" s="4" t="inlineStr">
        <is>
          <t>A0AAD9MFN2</t>
        </is>
      </c>
      <c r="B315" s="4" t="inlineStr">
        <is>
          <t>Phyllachora maydis</t>
        </is>
      </c>
      <c r="C315" s="4" t="inlineStr">
        <is>
          <t>Uncharacterized protein</t>
        </is>
      </c>
      <c r="D315" s="4" t="inlineStr">
        <is>
          <t>True</t>
        </is>
      </c>
      <c r="E315" s="4" t="inlineStr">
        <is>
          <t>CTCSLFFDLHNSP</t>
        </is>
      </c>
      <c r="F315" s="4" t="n">
        <v>6</v>
      </c>
      <c r="G315" s="4" t="inlineStr"/>
      <c r="H315" s="4" t="n"/>
      <c r="I315" s="4" t="n"/>
      <c r="J315" s="4" t="n"/>
      <c r="K315" s="4" t="inlineStr"/>
    </row>
    <row r="316">
      <c r="A316" s="4" t="inlineStr">
        <is>
          <t>A0AAD9S678</t>
        </is>
      </c>
      <c r="B316" s="4" t="inlineStr">
        <is>
          <t>Diaporthe amygdali</t>
        </is>
      </c>
      <c r="C316" s="4" t="inlineStr">
        <is>
          <t>Uncharacterized protein</t>
        </is>
      </c>
      <c r="D316" s="4" t="inlineStr">
        <is>
          <t>True</t>
        </is>
      </c>
      <c r="E316" s="4" t="inlineStr">
        <is>
          <t>CTCSMFFDLHNSP</t>
        </is>
      </c>
      <c r="F316" s="4" t="n">
        <v>6</v>
      </c>
      <c r="G316" s="4" t="inlineStr"/>
      <c r="H316" s="4" t="n"/>
      <c r="I316" s="4" t="n"/>
      <c r="J316" s="4" t="n"/>
      <c r="K316" s="4" t="inlineStr"/>
    </row>
    <row r="317">
      <c r="A317" s="4" t="inlineStr">
        <is>
          <t>A0AAD9SYD1</t>
        </is>
      </c>
      <c r="B317" s="4" t="inlineStr">
        <is>
          <t>Diplocarpon rosae</t>
        </is>
      </c>
      <c r="C317" s="4" t="inlineStr">
        <is>
          <t>Uncharacterized protein</t>
        </is>
      </c>
      <c r="D317" s="4" t="inlineStr">
        <is>
          <t>True</t>
        </is>
      </c>
      <c r="E317" s="4" t="inlineStr">
        <is>
          <t>CTCSLFFDLHNSP</t>
        </is>
      </c>
      <c r="F317" s="4" t="n">
        <v>6</v>
      </c>
      <c r="G317" s="4" t="inlineStr"/>
      <c r="H317" s="4" t="n"/>
      <c r="I317" s="4" t="n"/>
      <c r="J317" s="4" t="n"/>
      <c r="K317" s="4" t="inlineStr"/>
    </row>
    <row r="318">
      <c r="A318" s="4" t="inlineStr">
        <is>
          <t>A0AAD9YRK9</t>
        </is>
      </c>
      <c r="B318" s="4" t="inlineStr">
        <is>
          <t>Colletotrichum kahawae</t>
        </is>
      </c>
      <c r="C318" s="4" t="inlineStr">
        <is>
          <t>Chalcone synthase b</t>
        </is>
      </c>
      <c r="D318" s="4" t="inlineStr">
        <is>
          <t>True</t>
        </is>
      </c>
      <c r="E318" s="4" t="inlineStr">
        <is>
          <t>VGCCYFAMIHNGP</t>
        </is>
      </c>
      <c r="F318" s="4" t="n">
        <v>6</v>
      </c>
      <c r="G318" s="4" t="inlineStr"/>
      <c r="H318" s="4" t="n"/>
      <c r="I318" s="4" t="n"/>
      <c r="J318" s="4" t="n"/>
      <c r="K318" s="4" t="inlineStr"/>
    </row>
    <row r="319">
      <c r="A319" s="4" t="inlineStr">
        <is>
          <t>A0AAD9ZFM4</t>
        </is>
      </c>
      <c r="B319" s="4" t="inlineStr">
        <is>
          <t>Lepraria neglecta</t>
        </is>
      </c>
      <c r="C319" s="4" t="inlineStr">
        <is>
          <t>Chalcone synthase</t>
        </is>
      </c>
      <c r="D319" s="4" t="inlineStr">
        <is>
          <t>True</t>
        </is>
      </c>
      <c r="E319" s="4" t="inlineStr">
        <is>
          <t>CTCSLFFDLHNSP</t>
        </is>
      </c>
      <c r="F319" s="4" t="n">
        <v>6</v>
      </c>
      <c r="G319" s="4" t="inlineStr"/>
      <c r="H319" s="4" t="n"/>
      <c r="I319" s="4" t="n"/>
      <c r="J319" s="4" t="n"/>
      <c r="K319" s="4" t="inlineStr"/>
    </row>
    <row r="320">
      <c r="A320" s="4" t="inlineStr">
        <is>
          <t>A0AAE0I0K3</t>
        </is>
      </c>
      <c r="B320" s="4" t="inlineStr">
        <is>
          <t>Apodospora peruviana</t>
        </is>
      </c>
      <c r="C320" s="4" t="inlineStr">
        <is>
          <t>Type III polyketide synthase</t>
        </is>
      </c>
      <c r="D320" s="4" t="inlineStr">
        <is>
          <t>True</t>
        </is>
      </c>
      <c r="E320" s="4" t="inlineStr">
        <is>
          <t>CTCSMFFDLHNSP</t>
        </is>
      </c>
      <c r="F320" s="4" t="n">
        <v>6</v>
      </c>
      <c r="G320" s="4" t="inlineStr"/>
      <c r="H320" s="4" t="n"/>
      <c r="I320" s="4" t="n"/>
      <c r="J320" s="4" t="n"/>
      <c r="K320" s="4" t="inlineStr"/>
    </row>
    <row r="321">
      <c r="A321" s="4" t="inlineStr">
        <is>
          <t>A0AAE0IYT3</t>
        </is>
      </c>
      <c r="B321" s="4" t="inlineStr">
        <is>
          <t>Cercophora scortea</t>
        </is>
      </c>
      <c r="C321" s="4" t="inlineStr">
        <is>
          <t>Chalcone synthase B</t>
        </is>
      </c>
      <c r="D321" s="4" t="inlineStr">
        <is>
          <t>True</t>
        </is>
      </c>
      <c r="E321" s="4" t="inlineStr">
        <is>
          <t>CTCCNFWYLHNSP</t>
        </is>
      </c>
      <c r="F321" s="4" t="n">
        <v>6</v>
      </c>
      <c r="G321" s="4" t="inlineStr"/>
      <c r="H321" s="4" t="n"/>
      <c r="I321" s="4" t="n"/>
      <c r="J321" s="4" t="n"/>
      <c r="K321" s="4" t="inlineStr"/>
    </row>
    <row r="322">
      <c r="A322" s="4" t="inlineStr">
        <is>
          <t>A0AAE0LPV4</t>
        </is>
      </c>
      <c r="B322" s="4" t="inlineStr">
        <is>
          <t>Chaetomium fimeti</t>
        </is>
      </c>
      <c r="C322" s="4" t="inlineStr">
        <is>
          <t>Thiolase-like protein</t>
        </is>
      </c>
      <c r="D322" s="4" t="inlineStr">
        <is>
          <t>True</t>
        </is>
      </c>
      <c r="E322" s="4" t="inlineStr">
        <is>
          <t>CTCSLFFDLHNSP</t>
        </is>
      </c>
      <c r="F322" s="4" t="n">
        <v>6</v>
      </c>
      <c r="G322" s="4" t="inlineStr"/>
      <c r="H322" s="4" t="n"/>
      <c r="I322" s="4" t="n"/>
      <c r="J322" s="4" t="n"/>
      <c r="K322" s="4" t="inlineStr"/>
    </row>
    <row r="323">
      <c r="A323" s="4" t="inlineStr">
        <is>
          <t>A0AAE0NHF8</t>
        </is>
      </c>
      <c r="B323" s="4" t="inlineStr">
        <is>
          <t>Podospora didyma</t>
        </is>
      </c>
      <c r="C323" s="4" t="inlineStr">
        <is>
          <t>Thiolase-like protein</t>
        </is>
      </c>
      <c r="D323" s="4" t="inlineStr">
        <is>
          <t>True</t>
        </is>
      </c>
      <c r="E323" s="4" t="inlineStr">
        <is>
          <t>CTCSMFFDLHNSP</t>
        </is>
      </c>
      <c r="F323" s="4" t="n">
        <v>6</v>
      </c>
      <c r="G323" s="4" t="inlineStr"/>
      <c r="H323" s="4" t="n"/>
      <c r="I323" s="4" t="n"/>
      <c r="J323" s="4" t="n"/>
      <c r="K323" s="4" t="inlineStr"/>
    </row>
    <row r="324">
      <c r="A324" s="4" t="inlineStr">
        <is>
          <t>A0AAE0PMD5</t>
        </is>
      </c>
      <c r="B324" s="4" t="inlineStr">
        <is>
          <t>Sordaria brevicollis</t>
        </is>
      </c>
      <c r="C324" s="4" t="inlineStr">
        <is>
          <t>Type III polyketide synthase</t>
        </is>
      </c>
      <c r="D324" s="4" t="inlineStr">
        <is>
          <t>True</t>
        </is>
      </c>
      <c r="E324" s="4" t="inlineStr">
        <is>
          <t>CTCSMFFDLHNSP</t>
        </is>
      </c>
      <c r="F324" s="4" t="n">
        <v>6</v>
      </c>
      <c r="G324" s="4" t="inlineStr"/>
      <c r="H324" s="4" t="n"/>
      <c r="I324" s="4" t="n"/>
      <c r="J324" s="4" t="n"/>
      <c r="K324" s="4" t="inlineStr"/>
    </row>
    <row r="325">
      <c r="A325" s="4" t="inlineStr">
        <is>
          <t>A0AAE0XFA5</t>
        </is>
      </c>
      <c r="B325" s="4" t="inlineStr">
        <is>
          <t>Podospora appendiculata</t>
        </is>
      </c>
      <c r="C325" s="4" t="inlineStr">
        <is>
          <t>Chalcone synthase B</t>
        </is>
      </c>
      <c r="D325" s="4" t="inlineStr">
        <is>
          <t>True</t>
        </is>
      </c>
      <c r="E325" s="4" t="inlineStr">
        <is>
          <t>CTCCNFWYLHNSP</t>
        </is>
      </c>
      <c r="F325" s="4" t="n">
        <v>6</v>
      </c>
      <c r="G325" s="4" t="inlineStr"/>
      <c r="H325" s="4" t="n"/>
      <c r="I325" s="4" t="n"/>
      <c r="J325" s="4" t="n"/>
      <c r="K325" s="4" t="inlineStr"/>
    </row>
    <row r="326">
      <c r="A326" s="4" t="inlineStr">
        <is>
          <t>A0AAE1C8A6</t>
        </is>
      </c>
      <c r="B326" s="4" t="inlineStr">
        <is>
          <t>Podospora appendiculata</t>
        </is>
      </c>
      <c r="C326" s="4" t="inlineStr">
        <is>
          <t>Thiolase-like protein</t>
        </is>
      </c>
      <c r="D326" s="4" t="inlineStr">
        <is>
          <t>True</t>
        </is>
      </c>
      <c r="E326" s="4" t="inlineStr">
        <is>
          <t>CTCSMFFDLHNSP</t>
        </is>
      </c>
      <c r="F326" s="4" t="n">
        <v>6</v>
      </c>
      <c r="G326" s="4" t="inlineStr"/>
      <c r="H326" s="4" t="n"/>
      <c r="I326" s="4" t="n"/>
      <c r="J326" s="4" t="n"/>
      <c r="K326" s="4" t="inlineStr"/>
    </row>
    <row r="327">
      <c r="A327" s="4" t="inlineStr">
        <is>
          <t>A0AAE8MU88</t>
        </is>
      </c>
      <c r="B327" s="4" t="inlineStr">
        <is>
          <t>Cephalotrichum gorgonifer</t>
        </is>
      </c>
      <c r="C327" s="4" t="inlineStr">
        <is>
          <t>Related to stilbene synthase 2</t>
        </is>
      </c>
      <c r="D327" s="4" t="inlineStr">
        <is>
          <t>True</t>
        </is>
      </c>
      <c r="E327" s="4" t="inlineStr">
        <is>
          <t>CTCSMFFDLHNSP</t>
        </is>
      </c>
      <c r="F327" s="4" t="n">
        <v>6</v>
      </c>
      <c r="G327" s="4" t="inlineStr"/>
      <c r="H327" s="4" t="n"/>
      <c r="I327" s="4" t="n"/>
      <c r="J327" s="4" t="n"/>
      <c r="K327" s="4" t="inlineStr"/>
    </row>
    <row r="328">
      <c r="A328" s="4" t="inlineStr">
        <is>
          <t>A0AAI8VD52</t>
        </is>
      </c>
      <c r="B328" s="4" t="inlineStr">
        <is>
          <t>Anthostomella pinea</t>
        </is>
      </c>
      <c r="C328" s="4" t="inlineStr">
        <is>
          <t>Uu.00g129210.m01.CDS01</t>
        </is>
      </c>
      <c r="D328" s="4" t="inlineStr">
        <is>
          <t>True</t>
        </is>
      </c>
      <c r="E328" s="4" t="inlineStr">
        <is>
          <t>CTCSMFFDLHNSP</t>
        </is>
      </c>
      <c r="F328" s="4" t="n">
        <v>6</v>
      </c>
      <c r="G328" s="4" t="inlineStr"/>
      <c r="H328" s="4" t="n"/>
      <c r="I328" s="4" t="n"/>
      <c r="J328" s="4" t="n"/>
      <c r="K328" s="4" t="inlineStr"/>
    </row>
    <row r="329">
      <c r="A329" s="4" t="inlineStr">
        <is>
          <t>A0AAJ0BM31</t>
        </is>
      </c>
      <c r="B329" s="4" t="inlineStr">
        <is>
          <t>Echria macrotheca</t>
        </is>
      </c>
      <c r="C329" s="4" t="inlineStr">
        <is>
          <t>Thiolase-like protein (Fragment)</t>
        </is>
      </c>
      <c r="D329" s="4" t="inlineStr">
        <is>
          <t>True</t>
        </is>
      </c>
      <c r="E329" s="4" t="inlineStr">
        <is>
          <t>CTCSLFFDLHNSP</t>
        </is>
      </c>
      <c r="F329" s="4" t="n">
        <v>6</v>
      </c>
      <c r="G329" s="4" t="inlineStr"/>
      <c r="H329" s="4" t="n"/>
      <c r="I329" s="4" t="n"/>
      <c r="J329" s="4" t="n"/>
      <c r="K329" s="4" t="inlineStr"/>
    </row>
    <row r="330">
      <c r="A330" s="4" t="inlineStr">
        <is>
          <t>A0AAJ0CG38</t>
        </is>
      </c>
      <c r="B330" s="4" t="inlineStr">
        <is>
          <t>Conoideocrella luteorostrata</t>
        </is>
      </c>
      <c r="C330" s="4" t="inlineStr">
        <is>
          <t>Chalcone synthase</t>
        </is>
      </c>
      <c r="D330" s="4" t="inlineStr">
        <is>
          <t>True</t>
        </is>
      </c>
      <c r="E330" s="4" t="inlineStr">
        <is>
          <t>CTCCNFCFLHNSP</t>
        </is>
      </c>
      <c r="F330" s="4" t="n">
        <v>6</v>
      </c>
      <c r="G330" s="4" t="inlineStr"/>
      <c r="H330" s="4" t="n"/>
      <c r="I330" s="4" t="n"/>
      <c r="J330" s="4" t="n"/>
      <c r="K330" s="4" t="inlineStr"/>
    </row>
    <row r="331">
      <c r="A331" s="4" t="inlineStr">
        <is>
          <t>A0AAJ0CZE2</t>
        </is>
      </c>
      <c r="B331" s="4" t="inlineStr">
        <is>
          <t>Conoideocrella luteorostrata</t>
        </is>
      </c>
      <c r="C331" s="4" t="inlineStr">
        <is>
          <t>Chalcone synthase</t>
        </is>
      </c>
      <c r="D331" s="4" t="inlineStr">
        <is>
          <t>True</t>
        </is>
      </c>
      <c r="E331" s="4" t="inlineStr">
        <is>
          <t>CTCCNFFYLHNSP</t>
        </is>
      </c>
      <c r="F331" s="4" t="n">
        <v>6</v>
      </c>
      <c r="G331" s="4" t="inlineStr"/>
      <c r="H331" s="4" t="n"/>
      <c r="I331" s="4" t="n"/>
      <c r="J331" s="4" t="n"/>
      <c r="K331" s="4" t="inlineStr"/>
    </row>
    <row r="332">
      <c r="A332" s="4" t="inlineStr">
        <is>
          <t>A0AAJ0GJ08</t>
        </is>
      </c>
      <c r="B332" s="4" t="inlineStr">
        <is>
          <t>Extremus antarcticus</t>
        </is>
      </c>
      <c r="C332" s="4" t="inlineStr">
        <is>
          <t>Type III polyketide synthase</t>
        </is>
      </c>
      <c r="D332" s="4" t="inlineStr">
        <is>
          <t>True</t>
        </is>
      </c>
      <c r="E332" s="4" t="inlineStr">
        <is>
          <t>ITCCTFWNLHNSP</t>
        </is>
      </c>
      <c r="F332" s="4" t="n">
        <v>6</v>
      </c>
      <c r="G332" s="4" t="inlineStr"/>
      <c r="H332" s="4" t="n"/>
      <c r="I332" s="4" t="n"/>
      <c r="J332" s="4" t="n"/>
      <c r="K332" s="4" t="inlineStr"/>
    </row>
    <row r="333">
      <c r="A333" s="4" t="inlineStr">
        <is>
          <t>A0AAN6E693</t>
        </is>
      </c>
      <c r="B333" s="4" t="inlineStr">
        <is>
          <t>Exophiala viscosa</t>
        </is>
      </c>
      <c r="C333" s="4" t="inlineStr">
        <is>
          <t>Chalcone synthase</t>
        </is>
      </c>
      <c r="D333" s="4" t="inlineStr">
        <is>
          <t>True</t>
        </is>
      </c>
      <c r="E333" s="4" t="inlineStr">
        <is>
          <t>CTCSLFFDLHNSP</t>
        </is>
      </c>
      <c r="F333" s="4" t="n">
        <v>6</v>
      </c>
      <c r="G333" s="4" t="inlineStr"/>
      <c r="H333" s="4" t="n"/>
      <c r="I333" s="4" t="n"/>
      <c r="J333" s="4" t="n"/>
      <c r="K333" s="4" t="inlineStr"/>
    </row>
    <row r="334">
      <c r="A334" s="4" t="inlineStr">
        <is>
          <t>A0AAN6MBH1</t>
        </is>
      </c>
      <c r="B334" s="4" t="inlineStr">
        <is>
          <t>Staphylotrichum tortipilum</t>
        </is>
      </c>
      <c r="C334" s="4" t="inlineStr">
        <is>
          <t>Chalcone synthase</t>
        </is>
      </c>
      <c r="D334" s="4" t="inlineStr">
        <is>
          <t>True</t>
        </is>
      </c>
      <c r="E334" s="4" t="inlineStr">
        <is>
          <t>CTCCNFFYLHNSP</t>
        </is>
      </c>
      <c r="F334" s="4" t="n">
        <v>6</v>
      </c>
      <c r="G334" s="4" t="inlineStr"/>
      <c r="H334" s="4" t="n"/>
      <c r="I334" s="4" t="n"/>
      <c r="J334" s="4" t="n"/>
      <c r="K334" s="4" t="inlineStr"/>
    </row>
    <row r="335">
      <c r="A335" s="4" t="inlineStr">
        <is>
          <t>A0AAN6MFP4</t>
        </is>
      </c>
      <c r="B335" s="4" t="inlineStr">
        <is>
          <t>Staphylotrichum tortipilum</t>
        </is>
      </c>
      <c r="C335" s="4" t="inlineStr">
        <is>
          <t>Thiolase-like protein</t>
        </is>
      </c>
      <c r="D335" s="4" t="inlineStr">
        <is>
          <t>True</t>
        </is>
      </c>
      <c r="E335" s="4" t="inlineStr">
        <is>
          <t>CTCSLFFDLHNSP</t>
        </is>
      </c>
      <c r="F335" s="4" t="n">
        <v>6</v>
      </c>
      <c r="G335" s="4" t="inlineStr"/>
      <c r="H335" s="4" t="n"/>
      <c r="I335" s="4" t="n"/>
      <c r="J335" s="4" t="n"/>
      <c r="K335" s="4" t="inlineStr"/>
    </row>
    <row r="336">
      <c r="A336" s="4" t="inlineStr">
        <is>
          <t>A0AAN6NGX2</t>
        </is>
      </c>
      <c r="B336" s="4" t="inlineStr">
        <is>
          <t>Diplogelasinospora grovesii</t>
        </is>
      </c>
      <c r="C336" s="4" t="inlineStr">
        <is>
          <t>Type III polyketide synthase</t>
        </is>
      </c>
      <c r="D336" s="4" t="inlineStr">
        <is>
          <t>True</t>
        </is>
      </c>
      <c r="E336" s="4" t="inlineStr">
        <is>
          <t>CTCSMFFDLHNSP</t>
        </is>
      </c>
      <c r="F336" s="4" t="n">
        <v>6</v>
      </c>
      <c r="G336" s="4" t="inlineStr"/>
      <c r="H336" s="4" t="n"/>
      <c r="I336" s="4" t="n"/>
      <c r="J336" s="4" t="n"/>
      <c r="K336" s="4" t="inlineStr"/>
    </row>
    <row r="337">
      <c r="A337" s="4" t="inlineStr">
        <is>
          <t>A0AAN6PYX2</t>
        </is>
      </c>
      <c r="B337" s="4" t="inlineStr">
        <is>
          <t>Parathielavia hyrcaniae</t>
        </is>
      </c>
      <c r="C337" s="4" t="inlineStr">
        <is>
          <t>Thiolase-like protein</t>
        </is>
      </c>
      <c r="D337" s="4" t="inlineStr">
        <is>
          <t>True</t>
        </is>
      </c>
      <c r="E337" s="4" t="inlineStr">
        <is>
          <t>CTCSFFFDLHNSP</t>
        </is>
      </c>
      <c r="F337" s="4" t="n">
        <v>6</v>
      </c>
      <c r="G337" s="4" t="inlineStr"/>
      <c r="H337" s="4" t="n"/>
      <c r="I337" s="4" t="n"/>
      <c r="J337" s="4" t="n"/>
      <c r="K337" s="4" t="inlineStr"/>
    </row>
    <row r="338">
      <c r="A338" s="4" t="inlineStr">
        <is>
          <t>A0AAN6T0C4</t>
        </is>
      </c>
      <c r="B338" s="4" t="inlineStr">
        <is>
          <t>Parathielavia hyrcaniae</t>
        </is>
      </c>
      <c r="C338" s="4" t="inlineStr">
        <is>
          <t>Thiolase-like protein</t>
        </is>
      </c>
      <c r="D338" s="4" t="inlineStr">
        <is>
          <t>True</t>
        </is>
      </c>
      <c r="E338" s="4" t="inlineStr">
        <is>
          <t>CTCCNFFYLHNSP</t>
        </is>
      </c>
      <c r="F338" s="4" t="n">
        <v>6</v>
      </c>
      <c r="G338" s="4" t="inlineStr"/>
      <c r="H338" s="4" t="n"/>
      <c r="I338" s="4" t="n"/>
      <c r="J338" s="4" t="n"/>
      <c r="K338" s="4" t="inlineStr"/>
    </row>
    <row r="339">
      <c r="A339" s="4" t="inlineStr">
        <is>
          <t>A0AAN6TAE1</t>
        </is>
      </c>
      <c r="B339" s="4" t="inlineStr">
        <is>
          <t>Canariomyces notabilis</t>
        </is>
      </c>
      <c r="C339" s="4" t="inlineStr">
        <is>
          <t>Thiolase-like protein</t>
        </is>
      </c>
      <c r="D339" s="4" t="inlineStr">
        <is>
          <t>True</t>
        </is>
      </c>
      <c r="E339" s="4" t="inlineStr">
        <is>
          <t>CTCSLFFDLHNSP</t>
        </is>
      </c>
      <c r="F339" s="4" t="n">
        <v>6</v>
      </c>
      <c r="G339" s="4" t="inlineStr"/>
      <c r="H339" s="4" t="n"/>
      <c r="I339" s="4" t="n"/>
      <c r="J339" s="4" t="n"/>
      <c r="K339" s="4" t="inlineStr"/>
    </row>
    <row r="340">
      <c r="A340" s="4" t="inlineStr">
        <is>
          <t>A0AAN6UE56</t>
        </is>
      </c>
      <c r="B340" s="4" t="inlineStr">
        <is>
          <t>Trichocladium antarcticum</t>
        </is>
      </c>
      <c r="C340" s="4" t="inlineStr">
        <is>
          <t>Polyketide synthase</t>
        </is>
      </c>
      <c r="D340" s="4" t="inlineStr">
        <is>
          <t>True</t>
        </is>
      </c>
      <c r="E340" s="4" t="inlineStr">
        <is>
          <t>CTCSLFFDLHNSP</t>
        </is>
      </c>
      <c r="F340" s="4" t="n">
        <v>6</v>
      </c>
      <c r="G340" s="4" t="inlineStr"/>
      <c r="H340" s="4" t="n"/>
      <c r="I340" s="4" t="n"/>
      <c r="J340" s="4" t="n"/>
      <c r="K340" s="4" t="inlineStr"/>
    </row>
    <row r="341">
      <c r="A341" s="4" t="inlineStr">
        <is>
          <t>A0AAN6W7J5</t>
        </is>
      </c>
      <c r="B341" s="4" t="inlineStr">
        <is>
          <t>Triangularia setosa</t>
        </is>
      </c>
      <c r="C341" s="4" t="inlineStr">
        <is>
          <t>Chalcone synthase</t>
        </is>
      </c>
      <c r="D341" s="4" t="inlineStr">
        <is>
          <t>True</t>
        </is>
      </c>
      <c r="E341" s="4" t="inlineStr">
        <is>
          <t>CTCCVFFDLHNSP</t>
        </is>
      </c>
      <c r="F341" s="4" t="n">
        <v>6</v>
      </c>
      <c r="G341" s="4" t="inlineStr"/>
      <c r="H341" s="4" t="n"/>
      <c r="I341" s="4" t="n"/>
      <c r="J341" s="4" t="n"/>
      <c r="K341" s="4" t="inlineStr"/>
    </row>
    <row r="342">
      <c r="A342" s="4" t="inlineStr">
        <is>
          <t>A0AAN6WVW8</t>
        </is>
      </c>
      <c r="B342" s="4" t="inlineStr">
        <is>
          <t>Podospora australis</t>
        </is>
      </c>
      <c r="C342" s="4" t="inlineStr">
        <is>
          <t>Chalcone synthase</t>
        </is>
      </c>
      <c r="D342" s="4" t="inlineStr">
        <is>
          <t>True</t>
        </is>
      </c>
      <c r="E342" s="4" t="inlineStr">
        <is>
          <t>CTCSMFFDLHNSP</t>
        </is>
      </c>
      <c r="F342" s="4" t="n">
        <v>6</v>
      </c>
      <c r="G342" s="4" t="inlineStr"/>
      <c r="H342" s="4" t="n"/>
      <c r="I342" s="4" t="n"/>
      <c r="J342" s="4" t="n"/>
      <c r="K342" s="4" t="inlineStr"/>
    </row>
    <row r="343">
      <c r="A343" s="4" t="inlineStr">
        <is>
          <t>A0AAN6XI80</t>
        </is>
      </c>
      <c r="B343" s="4" t="inlineStr">
        <is>
          <t>Triangularia verruculosa</t>
        </is>
      </c>
      <c r="C343" s="4" t="inlineStr">
        <is>
          <t>Thiolase-like protein</t>
        </is>
      </c>
      <c r="D343" s="4" t="inlineStr">
        <is>
          <t>True</t>
        </is>
      </c>
      <c r="E343" s="4" t="inlineStr">
        <is>
          <t>CTCSLFFDLHNSP</t>
        </is>
      </c>
      <c r="F343" s="4" t="n">
        <v>6</v>
      </c>
      <c r="G343" s="4" t="inlineStr"/>
      <c r="H343" s="4" t="n"/>
      <c r="I343" s="4" t="n"/>
      <c r="J343" s="4" t="n"/>
      <c r="K343" s="4" t="inlineStr"/>
    </row>
    <row r="344">
      <c r="A344" s="4" t="inlineStr">
        <is>
          <t>A0AAN7BB51</t>
        </is>
      </c>
      <c r="B344" s="4" t="inlineStr">
        <is>
          <t>Rhypophila decipiens</t>
        </is>
      </c>
      <c r="C344" s="4" t="inlineStr">
        <is>
          <t>Type III polyketide synthase</t>
        </is>
      </c>
      <c r="D344" s="4" t="inlineStr">
        <is>
          <t>True</t>
        </is>
      </c>
      <c r="E344" s="4" t="inlineStr">
        <is>
          <t>CTCSMFFDLHNSP</t>
        </is>
      </c>
      <c r="F344" s="4" t="n">
        <v>6</v>
      </c>
      <c r="G344" s="4" t="inlineStr"/>
      <c r="H344" s="4" t="n"/>
      <c r="I344" s="4" t="n"/>
      <c r="J344" s="4" t="n"/>
      <c r="K344" s="4" t="inlineStr"/>
    </row>
    <row r="345">
      <c r="A345" s="4" t="inlineStr">
        <is>
          <t>A0AAN7HSL5</t>
        </is>
      </c>
      <c r="B345" s="4" t="inlineStr">
        <is>
          <t>Corynascus novoguineensis</t>
        </is>
      </c>
      <c r="C345" s="4" t="inlineStr">
        <is>
          <t>Thiolase-like protein</t>
        </is>
      </c>
      <c r="D345" s="4" t="inlineStr">
        <is>
          <t>True</t>
        </is>
      </c>
      <c r="E345" s="4" t="inlineStr">
        <is>
          <t>CTCSLFFDLHNSP</t>
        </is>
      </c>
      <c r="F345" s="4" t="n">
        <v>6</v>
      </c>
      <c r="G345" s="4" t="inlineStr"/>
      <c r="H345" s="4" t="n"/>
      <c r="I345" s="4" t="n"/>
      <c r="J345" s="4" t="n"/>
      <c r="K345" s="4" t="inlineStr"/>
    </row>
    <row r="346">
      <c r="A346" s="4" t="inlineStr">
        <is>
          <t>A0AAN7T340</t>
        </is>
      </c>
      <c r="B346" s="4" t="inlineStr">
        <is>
          <t>Lithohypha guttulata</t>
        </is>
      </c>
      <c r="C346" s="4" t="inlineStr">
        <is>
          <t>Chalcone synthase</t>
        </is>
      </c>
      <c r="D346" s="4" t="inlineStr">
        <is>
          <t>True</t>
        </is>
      </c>
      <c r="E346" s="4" t="inlineStr">
        <is>
          <t>CTCSLFFDLHNSP</t>
        </is>
      </c>
      <c r="F346" s="4" t="n">
        <v>6</v>
      </c>
      <c r="G346" s="4" t="inlineStr"/>
      <c r="H346" s="4" t="n"/>
      <c r="I346" s="4" t="n"/>
      <c r="J346" s="4" t="n"/>
      <c r="K346" s="4" t="inlineStr"/>
    </row>
    <row r="347">
      <c r="A347" s="4" t="inlineStr">
        <is>
          <t>A0AAN7UDA0</t>
        </is>
      </c>
      <c r="B347" s="4" t="inlineStr">
        <is>
          <t>Xylaria bambusicola</t>
        </is>
      </c>
      <c r="C347" s="4" t="inlineStr">
        <is>
          <t>Uncharacterized protein</t>
        </is>
      </c>
      <c r="D347" s="4" t="inlineStr">
        <is>
          <t>True</t>
        </is>
      </c>
      <c r="E347" s="4" t="inlineStr">
        <is>
          <t>CTCSLFFDLHNSP</t>
        </is>
      </c>
      <c r="F347" s="4" t="n">
        <v>6</v>
      </c>
      <c r="G347" s="4" t="inlineStr"/>
      <c r="H347" s="4" t="n"/>
      <c r="I347" s="4" t="n"/>
      <c r="J347" s="4" t="n"/>
      <c r="K347" s="4" t="inlineStr"/>
    </row>
    <row r="348">
      <c r="A348" s="4" t="inlineStr">
        <is>
          <t>A0AAN8EAZ5</t>
        </is>
      </c>
      <c r="B348" s="4" t="inlineStr">
        <is>
          <t>Knufia fluminis</t>
        </is>
      </c>
      <c r="C348" s="4" t="inlineStr">
        <is>
          <t>Chalcone synthase</t>
        </is>
      </c>
      <c r="D348" s="4" t="inlineStr">
        <is>
          <t>True</t>
        </is>
      </c>
      <c r="E348" s="4" t="inlineStr">
        <is>
          <t>CTCSLFFDLHNSP</t>
        </is>
      </c>
      <c r="F348" s="4" t="n">
        <v>6</v>
      </c>
      <c r="G348" s="4" t="inlineStr"/>
      <c r="H348" s="4" t="n"/>
      <c r="I348" s="4" t="n"/>
      <c r="J348" s="4" t="n"/>
      <c r="K348" s="4" t="inlineStr"/>
    </row>
    <row r="349">
      <c r="A349" s="4" t="inlineStr">
        <is>
          <t>A0AAN8MZK4</t>
        </is>
      </c>
      <c r="B349" s="4" t="inlineStr">
        <is>
          <t>Orbilia javanica</t>
        </is>
      </c>
      <c r="C349" s="4" t="inlineStr">
        <is>
          <t>Thiolase-like protein</t>
        </is>
      </c>
      <c r="D349" s="4" t="inlineStr">
        <is>
          <t>True</t>
        </is>
      </c>
      <c r="E349" s="4" t="inlineStr">
        <is>
          <t>CTCCLFFDLHNSP</t>
        </is>
      </c>
      <c r="F349" s="4" t="n">
        <v>6</v>
      </c>
      <c r="G349" s="4" t="inlineStr"/>
      <c r="H349" s="4" t="n"/>
      <c r="I349" s="4" t="n"/>
      <c r="J349" s="4" t="n"/>
      <c r="K349" s="4" t="inlineStr"/>
    </row>
    <row r="350">
      <c r="A350" s="4" t="inlineStr">
        <is>
          <t>A0AAN8NJ55</t>
        </is>
      </c>
      <c r="B350" s="4" t="inlineStr">
        <is>
          <t>Arthrobotrys conoides</t>
        </is>
      </c>
      <c r="C350" s="4" t="inlineStr">
        <is>
          <t>Thiolase-like protein</t>
        </is>
      </c>
      <c r="D350" s="4" t="inlineStr">
        <is>
          <t>True</t>
        </is>
      </c>
      <c r="E350" s="4" t="inlineStr">
        <is>
          <t>CTCCLFFDLHNSP</t>
        </is>
      </c>
      <c r="F350" s="4" t="n">
        <v>6</v>
      </c>
      <c r="G350" s="4" t="inlineStr"/>
      <c r="H350" s="4" t="n"/>
      <c r="I350" s="4" t="n"/>
      <c r="J350" s="4" t="n"/>
      <c r="K350" s="4" t="inlineStr"/>
    </row>
    <row r="351">
      <c r="A351" s="4" t="inlineStr">
        <is>
          <t>A0AAN9V823</t>
        </is>
      </c>
      <c r="B351" s="4" t="inlineStr">
        <is>
          <t>Diatrype stigma</t>
        </is>
      </c>
      <c r="C351" s="4" t="inlineStr">
        <is>
          <t>Uncharacterized protein</t>
        </is>
      </c>
      <c r="D351" s="4" t="inlineStr">
        <is>
          <t>True</t>
        </is>
      </c>
      <c r="E351" s="4" t="inlineStr">
        <is>
          <t>CTCSFFFDLHNSP</t>
        </is>
      </c>
      <c r="F351" s="4" t="n">
        <v>6</v>
      </c>
      <c r="G351" s="4" t="inlineStr"/>
      <c r="H351" s="4" t="n"/>
      <c r="I351" s="4" t="n"/>
      <c r="J351" s="4" t="n"/>
      <c r="K351" s="4" t="inlineStr"/>
    </row>
    <row r="352">
      <c r="A352" s="4" t="inlineStr">
        <is>
          <t>A0AAQ3R6T3</t>
        </is>
      </c>
      <c r="B352" s="4" t="inlineStr">
        <is>
          <t>Acrodontium crateriforme</t>
        </is>
      </c>
      <c r="C352" s="4" t="inlineStr">
        <is>
          <t>Uncharacterized protein</t>
        </is>
      </c>
      <c r="D352" s="4" t="inlineStr">
        <is>
          <t>True</t>
        </is>
      </c>
      <c r="E352" s="4" t="inlineStr">
        <is>
          <t>CTCCNFFYLHNSP</t>
        </is>
      </c>
      <c r="F352" s="4" t="n">
        <v>6</v>
      </c>
      <c r="G352" s="4" t="inlineStr"/>
      <c r="H352" s="4" t="n"/>
      <c r="I352" s="4" t="n"/>
      <c r="J352" s="4" t="n"/>
      <c r="K352" s="4" t="inlineStr"/>
    </row>
    <row r="353">
      <c r="A353" s="4" t="inlineStr">
        <is>
          <t>A0AAV9HPF1</t>
        </is>
      </c>
      <c r="B353" s="4" t="inlineStr">
        <is>
          <t>Cladorrhinum samala</t>
        </is>
      </c>
      <c r="C353" s="4" t="inlineStr">
        <is>
          <t>Thiolase-like protein</t>
        </is>
      </c>
      <c r="D353" s="4" t="inlineStr">
        <is>
          <t>True</t>
        </is>
      </c>
      <c r="E353" s="4" t="inlineStr">
        <is>
          <t>CTCSMFFDLHNSP</t>
        </is>
      </c>
      <c r="F353" s="4" t="n">
        <v>6</v>
      </c>
      <c r="G353" s="4" t="inlineStr"/>
      <c r="H353" s="4" t="n"/>
      <c r="I353" s="4" t="n"/>
      <c r="J353" s="4" t="n"/>
      <c r="K353" s="4" t="inlineStr"/>
    </row>
    <row r="354">
      <c r="A354" s="4" t="inlineStr">
        <is>
          <t>A0AAV9UJZ3</t>
        </is>
      </c>
      <c r="B354" s="4" t="inlineStr">
        <is>
          <t>Orbilia brochopaga</t>
        </is>
      </c>
      <c r="C354" s="4" t="inlineStr">
        <is>
          <t>Thiolase-like protein</t>
        </is>
      </c>
      <c r="D354" s="4" t="inlineStr">
        <is>
          <t>True</t>
        </is>
      </c>
      <c r="E354" s="4" t="inlineStr">
        <is>
          <t>CTCCLFFDLHNSP</t>
        </is>
      </c>
      <c r="F354" s="4" t="n">
        <v>6</v>
      </c>
      <c r="G354" s="4" t="inlineStr"/>
      <c r="H354" s="4" t="n"/>
      <c r="I354" s="4" t="n"/>
      <c r="J354" s="4" t="n"/>
      <c r="K354" s="4" t="inlineStr"/>
    </row>
    <row r="355">
      <c r="A355" s="4" t="inlineStr">
        <is>
          <t>A0AAV9V8E7</t>
        </is>
      </c>
      <c r="B355" s="4" t="inlineStr">
        <is>
          <t>Orbilia blumenaviensis</t>
        </is>
      </c>
      <c r="C355" s="4" t="inlineStr">
        <is>
          <t>Chalcone synthase</t>
        </is>
      </c>
      <c r="D355" s="4" t="inlineStr">
        <is>
          <t>True</t>
        </is>
      </c>
      <c r="E355" s="4" t="inlineStr">
        <is>
          <t>CTCCLFFDLHNSP</t>
        </is>
      </c>
      <c r="F355" s="4" t="n">
        <v>6</v>
      </c>
      <c r="G355" s="4" t="inlineStr"/>
      <c r="H355" s="4" t="n"/>
      <c r="I355" s="4" t="n"/>
      <c r="J355" s="4" t="n"/>
      <c r="K355" s="4" t="inlineStr"/>
    </row>
    <row r="356">
      <c r="A356" s="4" t="inlineStr">
        <is>
          <t>A0AAV9W576</t>
        </is>
      </c>
      <c r="B356" s="4" t="inlineStr">
        <is>
          <t>Arthrobotrys musiformis</t>
        </is>
      </c>
      <c r="C356" s="4" t="inlineStr">
        <is>
          <t>Thiolase-like protein</t>
        </is>
      </c>
      <c r="D356" s="4" t="inlineStr">
        <is>
          <t>True</t>
        </is>
      </c>
      <c r="E356" s="4" t="inlineStr">
        <is>
          <t>CTCCLFFDLHNSP</t>
        </is>
      </c>
      <c r="F356" s="4" t="n">
        <v>6</v>
      </c>
      <c r="G356" s="4" t="inlineStr"/>
      <c r="H356" s="4" t="n"/>
      <c r="I356" s="4" t="n"/>
      <c r="J356" s="4" t="n"/>
      <c r="K356" s="4" t="inlineStr"/>
    </row>
    <row r="357">
      <c r="A357" s="4" t="inlineStr">
        <is>
          <t>A0AAV9XNL7</t>
        </is>
      </c>
      <c r="B357" s="4" t="inlineStr">
        <is>
          <t>Orbilia ellipsospora</t>
        </is>
      </c>
      <c r="C357" s="4" t="inlineStr">
        <is>
          <t>Thiolase-like protein</t>
        </is>
      </c>
      <c r="D357" s="4" t="inlineStr">
        <is>
          <t>True</t>
        </is>
      </c>
      <c r="E357" s="4" t="inlineStr">
        <is>
          <t>CTCCLFFDLHNSP</t>
        </is>
      </c>
      <c r="F357" s="4" t="n">
        <v>6</v>
      </c>
      <c r="G357" s="4" t="inlineStr"/>
      <c r="H357" s="4" t="n"/>
      <c r="I357" s="4" t="n"/>
      <c r="J357" s="4" t="n"/>
      <c r="K357" s="4" t="inlineStr"/>
    </row>
    <row r="358">
      <c r="A358" s="4" t="inlineStr">
        <is>
          <t>A0AAW0QC11</t>
        </is>
      </c>
      <c r="B358" s="4" t="inlineStr">
        <is>
          <t>Apiospora kogelbergensis</t>
        </is>
      </c>
      <c r="C358" s="4" t="inlineStr">
        <is>
          <t>Uncharacterized protein</t>
        </is>
      </c>
      <c r="D358" s="4" t="inlineStr">
        <is>
          <t>True</t>
        </is>
      </c>
      <c r="E358" s="4" t="inlineStr">
        <is>
          <t>CTCSMFFDLHNSP</t>
        </is>
      </c>
      <c r="F358" s="4" t="n">
        <v>6</v>
      </c>
      <c r="G358" s="4" t="inlineStr"/>
      <c r="H358" s="4" t="n"/>
      <c r="I358" s="4" t="n"/>
      <c r="J358" s="4" t="n"/>
      <c r="K358" s="4" t="inlineStr"/>
    </row>
    <row r="359">
      <c r="A359" s="4" t="inlineStr">
        <is>
          <t>A0AAX4I6L2</t>
        </is>
      </c>
      <c r="B359" s="4" t="inlineStr">
        <is>
          <t>Colletotrichum destructivum</t>
        </is>
      </c>
      <c r="C359" s="4" t="inlineStr">
        <is>
          <t>Chalcone/stilbene synthase, polyketide synthase, type III, thiolase</t>
        </is>
      </c>
      <c r="D359" s="4" t="inlineStr">
        <is>
          <t>True</t>
        </is>
      </c>
      <c r="E359" s="4" t="inlineStr">
        <is>
          <t>VGCCYFAMIHNGP</t>
        </is>
      </c>
      <c r="F359" s="4" t="n">
        <v>6</v>
      </c>
      <c r="G359" s="4" t="inlineStr"/>
      <c r="H359" s="4" t="n"/>
      <c r="I359" s="4" t="n"/>
      <c r="J359" s="4" t="n"/>
      <c r="K359" s="4" t="inlineStr"/>
    </row>
    <row r="360">
      <c r="A360" s="4" t="inlineStr">
        <is>
          <t>A0AAX4J4J2</t>
        </is>
      </c>
      <c r="B360" s="4" t="inlineStr">
        <is>
          <t>Colletotrichum destructivum</t>
        </is>
      </c>
      <c r="C360" s="4" t="inlineStr">
        <is>
          <t>Chalcone/stilbene synthase, polyketide synthase, type III, thiolase</t>
        </is>
      </c>
      <c r="D360" s="4" t="inlineStr">
        <is>
          <t>True</t>
        </is>
      </c>
      <c r="E360" s="4" t="inlineStr">
        <is>
          <t>CTCCNFFYLHNSP</t>
        </is>
      </c>
      <c r="F360" s="4" t="n">
        <v>6</v>
      </c>
      <c r="G360" s="4" t="inlineStr"/>
      <c r="H360" s="4" t="n"/>
      <c r="I360" s="4" t="n"/>
      <c r="J360" s="4" t="n"/>
      <c r="K360" s="4" t="inlineStr"/>
    </row>
    <row r="361">
      <c r="A361" s="4" t="inlineStr">
        <is>
          <t>A0AAX6MX86</t>
        </is>
      </c>
      <c r="B361" s="4" t="inlineStr">
        <is>
          <t>Daldinia eschscholtzii</t>
        </is>
      </c>
      <c r="C361" s="4" t="inlineStr">
        <is>
          <t>Chalcone synthase</t>
        </is>
      </c>
      <c r="D361" s="4" t="inlineStr">
        <is>
          <t>True</t>
        </is>
      </c>
      <c r="E361" s="4" t="inlineStr">
        <is>
          <t>CTCSMFFDLHNSP</t>
        </is>
      </c>
      <c r="F361" s="4" t="n">
        <v>6</v>
      </c>
      <c r="G361" s="4" t="inlineStr"/>
      <c r="H361" s="4" t="n"/>
      <c r="I361" s="4" t="n"/>
      <c r="J361" s="4" t="n"/>
      <c r="K361" s="4" t="inlineStr"/>
    </row>
    <row r="362">
      <c r="A362" s="4" t="inlineStr">
        <is>
          <t>A0AB34KVQ6</t>
        </is>
      </c>
      <c r="B362" s="4" t="inlineStr">
        <is>
          <t>Cladosporium halotolerans</t>
        </is>
      </c>
      <c r="C362" s="4" t="inlineStr">
        <is>
          <t>Thiolase-like protein</t>
        </is>
      </c>
      <c r="D362" s="4" t="inlineStr">
        <is>
          <t>True</t>
        </is>
      </c>
      <c r="E362" s="4" t="inlineStr">
        <is>
          <t>CTCCNFYLLHNSP</t>
        </is>
      </c>
      <c r="F362" s="4" t="n">
        <v>6</v>
      </c>
      <c r="G362" s="4" t="inlineStr"/>
      <c r="H362" s="4" t="n"/>
      <c r="I362" s="4" t="n"/>
      <c r="J362" s="4" t="n"/>
      <c r="K362" s="4" t="inlineStr"/>
    </row>
    <row r="363">
      <c r="A363" s="4" t="inlineStr">
        <is>
          <t>A0ABP0BM14</t>
        </is>
      </c>
      <c r="B363" s="4" t="inlineStr">
        <is>
          <t>Sporothrix eucalyptigena</t>
        </is>
      </c>
      <c r="C363" s="4" t="inlineStr">
        <is>
          <t>Chalcone synthase</t>
        </is>
      </c>
      <c r="D363" s="4" t="inlineStr">
        <is>
          <t>True</t>
        </is>
      </c>
      <c r="E363" s="4" t="inlineStr">
        <is>
          <t>CTCSMFFDLHNSP</t>
        </is>
      </c>
      <c r="F363" s="4" t="n">
        <v>6</v>
      </c>
      <c r="G363" s="4" t="inlineStr"/>
      <c r="H363" s="4" t="n"/>
      <c r="I363" s="4" t="n"/>
      <c r="J363" s="4" t="n"/>
      <c r="K363" s="4" t="inlineStr"/>
    </row>
    <row r="364">
      <c r="A364" s="4" t="inlineStr">
        <is>
          <t>A0ABP0BMR9</t>
        </is>
      </c>
      <c r="B364" s="4" t="inlineStr">
        <is>
          <t>Sporothrix bragantina</t>
        </is>
      </c>
      <c r="C364" s="4" t="inlineStr">
        <is>
          <t>Chalcone synthase</t>
        </is>
      </c>
      <c r="D364" s="4" t="inlineStr">
        <is>
          <t>True</t>
        </is>
      </c>
      <c r="E364" s="4" t="inlineStr">
        <is>
          <t>CTCSMFFDLHNSP</t>
        </is>
      </c>
      <c r="F364" s="4" t="n">
        <v>6</v>
      </c>
      <c r="G364" s="4" t="inlineStr"/>
      <c r="H364" s="4" t="n"/>
      <c r="I364" s="4" t="n"/>
      <c r="J364" s="4" t="n"/>
      <c r="K364" s="4" t="inlineStr"/>
    </row>
    <row r="365">
      <c r="A365" s="4" t="inlineStr">
        <is>
          <t>A0ABP0BQ17</t>
        </is>
      </c>
      <c r="B365" s="4" t="inlineStr">
        <is>
          <t>Sporothrix curviconia</t>
        </is>
      </c>
      <c r="C365" s="4" t="inlineStr">
        <is>
          <t>Chalcone synthase</t>
        </is>
      </c>
      <c r="D365" s="4" t="inlineStr">
        <is>
          <t>True</t>
        </is>
      </c>
      <c r="E365" s="4" t="inlineStr">
        <is>
          <t>CTCSMFFDLHNSP</t>
        </is>
      </c>
      <c r="F365" s="4" t="n">
        <v>6</v>
      </c>
      <c r="G365" s="4" t="inlineStr"/>
      <c r="H365" s="4" t="n"/>
      <c r="I365" s="4" t="n"/>
      <c r="J365" s="4" t="n"/>
      <c r="K365" s="4" t="inlineStr"/>
    </row>
    <row r="366">
      <c r="A366" s="4" t="inlineStr">
        <is>
          <t>A0ABP0D742</t>
        </is>
      </c>
      <c r="B366" s="4" t="inlineStr">
        <is>
          <t>Sporothrix epigloea</t>
        </is>
      </c>
      <c r="C366" s="4" t="inlineStr">
        <is>
          <t>Chalcone synthase</t>
        </is>
      </c>
      <c r="D366" s="4" t="inlineStr">
        <is>
          <t>True</t>
        </is>
      </c>
      <c r="E366" s="4" t="inlineStr">
        <is>
          <t>CTCSMFFDLHNSP</t>
        </is>
      </c>
      <c r="F366" s="4" t="n">
        <v>6</v>
      </c>
      <c r="G366" s="4" t="inlineStr"/>
      <c r="H366" s="4" t="n"/>
      <c r="I366" s="4" t="n"/>
      <c r="J366" s="4" t="n"/>
      <c r="K366" s="4" t="inlineStr"/>
    </row>
    <row r="367">
      <c r="A367" s="4" t="inlineStr">
        <is>
          <t>A0ABP0D873</t>
        </is>
      </c>
      <c r="B367" s="4" t="inlineStr">
        <is>
          <t>Sporothrix epigloea</t>
        </is>
      </c>
      <c r="C367" s="4" t="inlineStr">
        <is>
          <t>Chalcone synthase</t>
        </is>
      </c>
      <c r="D367" s="4" t="inlineStr">
        <is>
          <t>True</t>
        </is>
      </c>
      <c r="E367" s="4" t="inlineStr">
        <is>
          <t>CTCSMFFDLHNSP</t>
        </is>
      </c>
      <c r="F367" s="4" t="n">
        <v>6</v>
      </c>
      <c r="G367" s="4" t="inlineStr"/>
      <c r="H367" s="4" t="n"/>
      <c r="I367" s="4" t="n"/>
      <c r="J367" s="4" t="n"/>
      <c r="K367" s="4" t="inlineStr"/>
    </row>
    <row r="368">
      <c r="A368" s="4" t="inlineStr">
        <is>
          <t>A0ABQ0GDY7</t>
        </is>
      </c>
      <c r="B368" s="4" t="inlineStr">
        <is>
          <t>Madurella fahalii</t>
        </is>
      </c>
      <c r="C368" s="4" t="inlineStr">
        <is>
          <t>Chalcone synthase</t>
        </is>
      </c>
      <c r="D368" s="4" t="inlineStr">
        <is>
          <t>True</t>
        </is>
      </c>
      <c r="E368" s="4" t="inlineStr">
        <is>
          <t>CTCSLFFDLHNSP</t>
        </is>
      </c>
      <c r="F368" s="4" t="n">
        <v>6</v>
      </c>
      <c r="G368" s="4" t="inlineStr"/>
      <c r="H368" s="4" t="n"/>
      <c r="I368" s="4" t="n"/>
      <c r="J368" s="4" t="n"/>
      <c r="K368" s="4" t="inlineStr"/>
    </row>
    <row r="369">
      <c r="A369" s="4" t="inlineStr">
        <is>
          <t>A0ABQ6L474</t>
        </is>
      </c>
      <c r="B369" s="4" t="inlineStr">
        <is>
          <t>Aspergillus oryzae var. brunneus</t>
        </is>
      </c>
      <c r="C369" s="4" t="inlineStr">
        <is>
          <t>Unnamed protein product</t>
        </is>
      </c>
      <c r="D369" s="4" t="inlineStr">
        <is>
          <t>True</t>
        </is>
      </c>
      <c r="E369" s="4" t="inlineStr">
        <is>
          <t>CTCMYF--IHNSA</t>
        </is>
      </c>
      <c r="F369" s="4" t="n">
        <v>6</v>
      </c>
      <c r="G369" s="4" t="inlineStr"/>
      <c r="H369" s="4" t="n"/>
      <c r="I369" s="4" t="n"/>
      <c r="J369" s="4" t="n"/>
      <c r="K369" s="4" t="inlineStr"/>
    </row>
    <row r="370">
      <c r="A370" s="4" t="inlineStr">
        <is>
          <t>A0ABQ6WZJ6</t>
        </is>
      </c>
      <c r="B370" s="4" t="inlineStr">
        <is>
          <t>Aspergillus pseudocaelatus</t>
        </is>
      </c>
      <c r="C370" s="4" t="inlineStr">
        <is>
          <t>Chalcone synthase B</t>
        </is>
      </c>
      <c r="D370" s="4" t="inlineStr">
        <is>
          <t>True</t>
        </is>
      </c>
      <c r="E370" s="4" t="inlineStr">
        <is>
          <t>ATCCQFYQLHNSP</t>
        </is>
      </c>
      <c r="F370" s="4" t="n">
        <v>6</v>
      </c>
      <c r="G370" s="4" t="inlineStr"/>
      <c r="H370" s="4" t="n"/>
      <c r="I370" s="4" t="n"/>
      <c r="J370" s="4" t="n"/>
      <c r="K370" s="4" t="inlineStr"/>
    </row>
    <row r="371">
      <c r="A371" s="4" t="inlineStr">
        <is>
          <t>A0ABQ8NQH5</t>
        </is>
      </c>
      <c r="B371" s="4" t="inlineStr">
        <is>
          <t>Pyricularia grisea</t>
        </is>
      </c>
      <c r="C371" s="4" t="inlineStr">
        <is>
          <t>Chalcone synthase</t>
        </is>
      </c>
      <c r="D371" s="4" t="inlineStr">
        <is>
          <t>True</t>
        </is>
      </c>
      <c r="E371" s="4" t="inlineStr">
        <is>
          <t>CTCCGFSYLHNSP</t>
        </is>
      </c>
      <c r="F371" s="4" t="n">
        <v>6</v>
      </c>
      <c r="G371" s="4" t="inlineStr"/>
      <c r="H371" s="4" t="n"/>
      <c r="I371" s="4" t="n"/>
      <c r="J371" s="4" t="n"/>
      <c r="K371" s="4" t="inlineStr"/>
    </row>
    <row r="372">
      <c r="A372" s="4" t="inlineStr">
        <is>
          <t>A0ABQ8WCM1</t>
        </is>
      </c>
      <c r="B372" s="4" t="inlineStr">
        <is>
          <t>Penicillium chrysogenum</t>
        </is>
      </c>
      <c r="C372" s="4" t="inlineStr">
        <is>
          <t>Polyketide synthase</t>
        </is>
      </c>
      <c r="D372" s="4" t="inlineStr">
        <is>
          <t>True</t>
        </is>
      </c>
      <c r="E372" s="4" t="inlineStr">
        <is>
          <t>CTCCNFFDLHNSP</t>
        </is>
      </c>
      <c r="F372" s="4" t="n">
        <v>6</v>
      </c>
      <c r="G372" s="4" t="inlineStr"/>
      <c r="H372" s="4" t="n"/>
      <c r="I372" s="4" t="n"/>
      <c r="J372" s="4" t="n"/>
      <c r="K372" s="4" t="inlineStr"/>
    </row>
    <row r="373">
      <c r="A373" s="4" t="inlineStr">
        <is>
          <t>A0ABR0JF95</t>
        </is>
      </c>
      <c r="B373" s="4" t="inlineStr">
        <is>
          <t>Exophiala sideris</t>
        </is>
      </c>
      <c r="C373" s="4" t="inlineStr">
        <is>
          <t>Chalcone synthase</t>
        </is>
      </c>
      <c r="D373" s="4" t="inlineStr">
        <is>
          <t>True</t>
        </is>
      </c>
      <c r="E373" s="4" t="inlineStr">
        <is>
          <t>ATCCNFLLLHNSP</t>
        </is>
      </c>
      <c r="F373" s="4" t="n">
        <v>6</v>
      </c>
      <c r="G373" s="4" t="inlineStr"/>
      <c r="H373" s="4" t="n"/>
      <c r="I373" s="4" t="n"/>
      <c r="J373" s="4" t="n"/>
      <c r="K373" s="4" t="inlineStr"/>
    </row>
    <row r="374">
      <c r="A374" s="4" t="inlineStr">
        <is>
          <t>A0ABR0JYW4</t>
        </is>
      </c>
      <c r="B374" s="4" t="inlineStr">
        <is>
          <t>Lithohypha guttulata</t>
        </is>
      </c>
      <c r="C374" s="4" t="inlineStr">
        <is>
          <t>Chalcone synthase</t>
        </is>
      </c>
      <c r="D374" s="4" t="inlineStr">
        <is>
          <t>True</t>
        </is>
      </c>
      <c r="E374" s="4" t="inlineStr">
        <is>
          <t>CTCSLFFDLHNSP</t>
        </is>
      </c>
      <c r="F374" s="4" t="n">
        <v>6</v>
      </c>
      <c r="G374" s="4" t="inlineStr"/>
      <c r="H374" s="4" t="n"/>
      <c r="I374" s="4" t="n"/>
      <c r="J374" s="4" t="n"/>
      <c r="K374" s="4" t="inlineStr"/>
    </row>
    <row r="375">
      <c r="A375" s="4" t="inlineStr">
        <is>
          <t>A0ABR1HG41</t>
        </is>
      </c>
      <c r="B375" s="4" t="inlineStr">
        <is>
          <t>Neonectria magnoliae</t>
        </is>
      </c>
      <c r="C375" s="4" t="inlineStr">
        <is>
          <t>Uncharacterized protein</t>
        </is>
      </c>
      <c r="D375" s="4" t="inlineStr">
        <is>
          <t>True</t>
        </is>
      </c>
      <c r="E375" s="4" t="inlineStr">
        <is>
          <t>CTCSMFFDLHNSP</t>
        </is>
      </c>
      <c r="F375" s="4" t="n">
        <v>6</v>
      </c>
      <c r="G375" s="4" t="inlineStr"/>
      <c r="H375" s="4" t="n"/>
      <c r="I375" s="4" t="n"/>
      <c r="J375" s="4" t="n"/>
      <c r="K375" s="4" t="inlineStr"/>
    </row>
    <row r="376">
      <c r="A376" s="4" t="inlineStr">
        <is>
          <t>A0ABR1NRM7</t>
        </is>
      </c>
      <c r="B376" s="4" t="inlineStr">
        <is>
          <t>Diaporthe eres</t>
        </is>
      </c>
      <c r="C376" s="4" t="inlineStr">
        <is>
          <t>Chalcone synthase</t>
        </is>
      </c>
      <c r="D376" s="4" t="inlineStr">
        <is>
          <t>True</t>
        </is>
      </c>
      <c r="E376" s="4" t="inlineStr">
        <is>
          <t>CTCCIFFYLHNSP</t>
        </is>
      </c>
      <c r="F376" s="4" t="n">
        <v>6</v>
      </c>
      <c r="G376" s="4" t="inlineStr">
        <is>
          <t>PhCHS</t>
        </is>
      </c>
      <c r="H376" s="4" t="n">
        <v>0.006</v>
      </c>
      <c r="I376" s="4" t="n">
        <v>1</v>
      </c>
      <c r="J376" s="4" t="n">
        <v>8</v>
      </c>
      <c r="K376" s="4" t="inlineStr">
        <is>
          <t>acetyl-coa,benzoyl-coa,coumaroyl-coa,decanoyl-coa,hexanoyl-coa,methylcrotonyl-coa,myristoyl-coa,phenylacetyl-coa</t>
        </is>
      </c>
    </row>
    <row r="377">
      <c r="A377" s="4" t="inlineStr">
        <is>
          <t>A0ABR1PIT7</t>
        </is>
      </c>
      <c r="B377" s="4" t="inlineStr">
        <is>
          <t>Diaporthe eres</t>
        </is>
      </c>
      <c r="C377" s="4" t="inlineStr">
        <is>
          <t>Uncharacterized protein</t>
        </is>
      </c>
      <c r="D377" s="4" t="inlineStr">
        <is>
          <t>True</t>
        </is>
      </c>
      <c r="E377" s="4" t="inlineStr">
        <is>
          <t>CTCSMFFDLHNSP</t>
        </is>
      </c>
      <c r="F377" s="4" t="n">
        <v>6</v>
      </c>
      <c r="G377" s="4" t="inlineStr">
        <is>
          <t>DliqPKS</t>
        </is>
      </c>
      <c r="H377" s="4" t="n">
        <v>0.655</v>
      </c>
      <c r="I377" s="4" t="n">
        <v>0</v>
      </c>
      <c r="J377" s="4" t="n">
        <v>4</v>
      </c>
      <c r="K377" s="4" t="inlineStr">
        <is>
          <t>decanoyl-coa,hexanoyl-coa,myristoyl-coa,oleoyl-coa</t>
        </is>
      </c>
    </row>
    <row r="378">
      <c r="A378" s="4" t="inlineStr">
        <is>
          <t>A0ABR1Q2N5</t>
        </is>
      </c>
      <c r="B378" s="4" t="inlineStr">
        <is>
          <t>Apiospora aurea</t>
        </is>
      </c>
      <c r="C378" s="4" t="inlineStr">
        <is>
          <t>Thiolase-like protein</t>
        </is>
      </c>
      <c r="D378" s="4" t="inlineStr">
        <is>
          <t>True</t>
        </is>
      </c>
      <c r="E378" s="4" t="inlineStr">
        <is>
          <t>CTCCTFFLIHNSD</t>
        </is>
      </c>
      <c r="F378" s="4" t="n">
        <v>6</v>
      </c>
      <c r="G378" s="4" t="inlineStr"/>
      <c r="H378" s="4" t="n"/>
      <c r="I378" s="4" t="n"/>
      <c r="J378" s="4" t="n"/>
      <c r="K378" s="4" t="inlineStr"/>
    </row>
    <row r="379">
      <c r="A379" s="4" t="inlineStr">
        <is>
          <t>A0ABR1QXI5</t>
        </is>
      </c>
      <c r="B379" s="4" t="inlineStr">
        <is>
          <t>Apiospora aurea</t>
        </is>
      </c>
      <c r="C379" s="4" t="inlineStr">
        <is>
          <t>Thiolase-like protein</t>
        </is>
      </c>
      <c r="D379" s="4" t="inlineStr">
        <is>
          <t>True</t>
        </is>
      </c>
      <c r="E379" s="4" t="inlineStr">
        <is>
          <t>CTCSMFFDLHNSP</t>
        </is>
      </c>
      <c r="F379" s="4" t="n">
        <v>6</v>
      </c>
      <c r="G379" s="4" t="inlineStr"/>
      <c r="H379" s="4" t="n"/>
      <c r="I379" s="4" t="n"/>
      <c r="J379" s="4" t="n"/>
      <c r="K379" s="4" t="inlineStr"/>
    </row>
    <row r="380">
      <c r="A380" s="4" t="inlineStr">
        <is>
          <t>A0ABR1RI18</t>
        </is>
      </c>
      <c r="B380" s="4" t="inlineStr">
        <is>
          <t>Apiospora marii</t>
        </is>
      </c>
      <c r="C380" s="4" t="inlineStr">
        <is>
          <t>Stilbene synthase 2</t>
        </is>
      </c>
      <c r="D380" s="4" t="inlineStr">
        <is>
          <t>True</t>
        </is>
      </c>
      <c r="E380" s="4" t="inlineStr">
        <is>
          <t>CTCSMFFDLHNSP</t>
        </is>
      </c>
      <c r="F380" s="4" t="n">
        <v>6</v>
      </c>
      <c r="G380" s="4" t="inlineStr"/>
      <c r="H380" s="4" t="n"/>
      <c r="I380" s="4" t="n"/>
      <c r="J380" s="4" t="n"/>
      <c r="K380" s="4" t="inlineStr"/>
    </row>
    <row r="381">
      <c r="A381" s="4" t="inlineStr">
        <is>
          <t>A0ABR1SUD7</t>
        </is>
      </c>
      <c r="B381" s="4" t="inlineStr">
        <is>
          <t>Apiospora phragmitis</t>
        </is>
      </c>
      <c r="C381" s="4" t="inlineStr">
        <is>
          <t>Type III polyketide synthase</t>
        </is>
      </c>
      <c r="D381" s="4" t="inlineStr">
        <is>
          <t>True</t>
        </is>
      </c>
      <c r="E381" s="4" t="inlineStr">
        <is>
          <t>CTCSMFFDLHNSP</t>
        </is>
      </c>
      <c r="F381" s="4" t="n">
        <v>6</v>
      </c>
      <c r="G381" s="4" t="inlineStr"/>
      <c r="H381" s="4" t="n"/>
      <c r="I381" s="4" t="n"/>
      <c r="J381" s="4" t="n"/>
      <c r="K381" s="4" t="inlineStr"/>
    </row>
    <row r="382">
      <c r="A382" s="4" t="inlineStr">
        <is>
          <t>A0ABR1TIY1</t>
        </is>
      </c>
      <c r="B382" s="4" t="inlineStr">
        <is>
          <t>Apiospora saccharicola</t>
        </is>
      </c>
      <c r="C382" s="4" t="inlineStr">
        <is>
          <t>Stilbene synthase 2</t>
        </is>
      </c>
      <c r="D382" s="4" t="inlineStr">
        <is>
          <t>True</t>
        </is>
      </c>
      <c r="E382" s="4" t="inlineStr">
        <is>
          <t>CTCSMFFDLHNSP</t>
        </is>
      </c>
      <c r="F382" s="4" t="n">
        <v>6</v>
      </c>
      <c r="G382" s="4" t="inlineStr"/>
      <c r="H382" s="4" t="n"/>
      <c r="I382" s="4" t="n"/>
      <c r="J382" s="4" t="n"/>
      <c r="K382" s="4" t="inlineStr"/>
    </row>
    <row r="383">
      <c r="A383" s="4" t="inlineStr">
        <is>
          <t>A0ABR2I0U6</t>
        </is>
      </c>
      <c r="B383" s="4" t="inlineStr">
        <is>
          <t>Apiospora arundinis</t>
        </is>
      </c>
      <c r="C383" s="4" t="inlineStr">
        <is>
          <t>Chalcone and stilbene synthase</t>
        </is>
      </c>
      <c r="D383" s="4" t="inlineStr">
        <is>
          <t>True</t>
        </is>
      </c>
      <c r="E383" s="4" t="inlineStr">
        <is>
          <t>CTCSMFFDLHNSP</t>
        </is>
      </c>
      <c r="F383" s="4" t="n">
        <v>6</v>
      </c>
      <c r="G383" s="4" t="inlineStr"/>
      <c r="H383" s="4" t="n"/>
      <c r="I383" s="4" t="n"/>
      <c r="J383" s="4" t="n"/>
      <c r="K383" s="4" t="inlineStr"/>
    </row>
    <row r="384">
      <c r="A384" s="4" t="inlineStr">
        <is>
          <t>A0ABR2V6Z4</t>
        </is>
      </c>
      <c r="B384" s="4" t="inlineStr">
        <is>
          <t>Seiridium unicorne</t>
        </is>
      </c>
      <c r="C384" s="4" t="inlineStr">
        <is>
          <t>Uncharacterized protein</t>
        </is>
      </c>
      <c r="D384" s="4" t="inlineStr">
        <is>
          <t>True</t>
        </is>
      </c>
      <c r="E384" s="4" t="inlineStr">
        <is>
          <t>CTCSMFFDLHNSP</t>
        </is>
      </c>
      <c r="F384" s="4" t="n">
        <v>6</v>
      </c>
      <c r="G384" s="4" t="inlineStr"/>
      <c r="H384" s="4" t="n"/>
      <c r="I384" s="4" t="n"/>
      <c r="J384" s="4" t="n"/>
      <c r="K384" s="4" t="inlineStr"/>
    </row>
    <row r="385">
      <c r="A385" s="4" t="inlineStr">
        <is>
          <t>A0ABR3AFA6</t>
        </is>
      </c>
      <c r="B385" s="4" t="inlineStr">
        <is>
          <t>Marasmius tenuissimus</t>
        </is>
      </c>
      <c r="C385" s="4" t="inlineStr">
        <is>
          <t>Chalcone synthase</t>
        </is>
      </c>
      <c r="D385" s="4" t="inlineStr">
        <is>
          <t>True</t>
        </is>
      </c>
      <c r="E385" s="4" t="inlineStr">
        <is>
          <t>CTCCMFFDLHNSP</t>
        </is>
      </c>
      <c r="F385" s="4" t="n">
        <v>6</v>
      </c>
      <c r="G385" s="4" t="inlineStr"/>
      <c r="H385" s="4" t="n"/>
      <c r="I385" s="4" t="n"/>
      <c r="J385" s="4" t="n"/>
      <c r="K385" s="4" t="inlineStr"/>
    </row>
    <row r="386">
      <c r="A386" s="4" t="inlineStr">
        <is>
          <t>A0ABR3DA93</t>
        </is>
      </c>
      <c r="B386" s="4" t="inlineStr">
        <is>
          <t>Neurospora intermedia</t>
        </is>
      </c>
      <c r="C386" s="4" t="inlineStr">
        <is>
          <t>Chalcone synthase</t>
        </is>
      </c>
      <c r="D386" s="4" t="inlineStr">
        <is>
          <t>True</t>
        </is>
      </c>
      <c r="E386" s="4" t="inlineStr">
        <is>
          <t>CTCSMFFDLHNSP</t>
        </is>
      </c>
      <c r="F386" s="4" t="n">
        <v>6</v>
      </c>
      <c r="G386" s="4" t="inlineStr"/>
      <c r="H386" s="4" t="n"/>
      <c r="I386" s="4" t="n"/>
      <c r="J386" s="4" t="n"/>
      <c r="K386" s="4" t="inlineStr"/>
    </row>
    <row r="387">
      <c r="A387" s="4" t="inlineStr">
        <is>
          <t>A0ABR3W919</t>
        </is>
      </c>
      <c r="B387" s="4" t="inlineStr">
        <is>
          <t>Diaporthe australafricana</t>
        </is>
      </c>
      <c r="C387" s="4" t="inlineStr">
        <is>
          <t>Chalcone synthase</t>
        </is>
      </c>
      <c r="D387" s="4" t="inlineStr">
        <is>
          <t>True</t>
        </is>
      </c>
      <c r="E387" s="4" t="inlineStr">
        <is>
          <t>CTCCIFFYLHNSP</t>
        </is>
      </c>
      <c r="F387" s="4" t="n">
        <v>6</v>
      </c>
      <c r="G387" s="4" t="inlineStr"/>
      <c r="H387" s="4" t="n"/>
      <c r="I387" s="4" t="n"/>
      <c r="J387" s="4" t="n"/>
      <c r="K387" s="4" t="inlineStr"/>
    </row>
    <row r="388">
      <c r="A388" s="4" t="inlineStr">
        <is>
          <t>A0ABR3WUF8</t>
        </is>
      </c>
      <c r="B388" s="4" t="inlineStr">
        <is>
          <t>Diaporthe australafricana</t>
        </is>
      </c>
      <c r="C388" s="4" t="inlineStr">
        <is>
          <t>Uncharacterized protein</t>
        </is>
      </c>
      <c r="D388" s="4" t="inlineStr">
        <is>
          <t>True</t>
        </is>
      </c>
      <c r="E388" s="4" t="inlineStr">
        <is>
          <t>CTCSMFFDLHNSP</t>
        </is>
      </c>
      <c r="F388" s="4" t="n">
        <v>6</v>
      </c>
      <c r="G388" s="4" t="inlineStr"/>
      <c r="H388" s="4" t="n"/>
      <c r="I388" s="4" t="n"/>
      <c r="J388" s="4" t="n"/>
      <c r="K388" s="4" t="inlineStr"/>
    </row>
    <row r="389">
      <c r="A389" s="4" t="inlineStr">
        <is>
          <t>A0ABR3ZGN9</t>
        </is>
      </c>
      <c r="B389" s="4" t="inlineStr">
        <is>
          <t>Sporothrix stenoceras</t>
        </is>
      </c>
      <c r="C389" s="4" t="inlineStr">
        <is>
          <t>Chalcone synthase</t>
        </is>
      </c>
      <c r="D389" s="4" t="inlineStr">
        <is>
          <t>True</t>
        </is>
      </c>
      <c r="E389" s="4" t="inlineStr">
        <is>
          <t>CTCSMFFDLHNSP</t>
        </is>
      </c>
      <c r="F389" s="4" t="n">
        <v>6</v>
      </c>
      <c r="G389" s="4" t="inlineStr"/>
      <c r="H389" s="4" t="n"/>
      <c r="I389" s="4" t="n"/>
      <c r="J389" s="4" t="n"/>
      <c r="K389" s="4" t="inlineStr"/>
    </row>
    <row r="390">
      <c r="A390" s="4" t="inlineStr">
        <is>
          <t>A0ABR3ZY90</t>
        </is>
      </c>
      <c r="B390" s="4" t="inlineStr">
        <is>
          <t>Stereocaulon virgatum</t>
        </is>
      </c>
      <c r="C390" s="4" t="inlineStr">
        <is>
          <t>Chalcone synthase</t>
        </is>
      </c>
      <c r="D390" s="4" t="inlineStr">
        <is>
          <t>True</t>
        </is>
      </c>
      <c r="E390" s="4" t="inlineStr">
        <is>
          <t>CTCCNFFMLHNSP</t>
        </is>
      </c>
      <c r="F390" s="4" t="n">
        <v>6</v>
      </c>
      <c r="G390" s="4" t="inlineStr"/>
      <c r="H390" s="4" t="n"/>
      <c r="I390" s="4" t="n"/>
      <c r="J390" s="4" t="n"/>
      <c r="K390" s="4" t="inlineStr"/>
    </row>
    <row r="391">
      <c r="A391" s="4" t="inlineStr">
        <is>
          <t>A0ABR4AQW7</t>
        </is>
      </c>
      <c r="B391" s="4" t="inlineStr">
        <is>
          <t>Stereocaulon virgatum</t>
        </is>
      </c>
      <c r="C391" s="4" t="inlineStr">
        <is>
          <t>Chalcone synthase</t>
        </is>
      </c>
      <c r="D391" s="4" t="inlineStr">
        <is>
          <t>True</t>
        </is>
      </c>
      <c r="E391" s="4" t="inlineStr">
        <is>
          <t>CTCSLFFDLHNSP</t>
        </is>
      </c>
      <c r="F391" s="4" t="n">
        <v>6</v>
      </c>
      <c r="G391" s="4" t="inlineStr"/>
      <c r="H391" s="4" t="n"/>
      <c r="I391" s="4" t="n"/>
      <c r="J391" s="4" t="n"/>
      <c r="K391" s="4" t="inlineStr"/>
    </row>
    <row r="392">
      <c r="A392" s="4" t="inlineStr">
        <is>
          <t>A0ABR4BZ28</t>
        </is>
      </c>
      <c r="B392" s="4" t="inlineStr">
        <is>
          <t>Oculimacula yallundae</t>
        </is>
      </c>
      <c r="C392" s="4" t="inlineStr">
        <is>
          <t>Chalcone synthase</t>
        </is>
      </c>
      <c r="D392" s="4" t="inlineStr">
        <is>
          <t>True</t>
        </is>
      </c>
      <c r="E392" s="4" t="inlineStr">
        <is>
          <t>CTCCNFFYLHNSP</t>
        </is>
      </c>
      <c r="F392" s="4" t="n">
        <v>6</v>
      </c>
      <c r="G392" s="4" t="inlineStr"/>
      <c r="H392" s="4" t="n"/>
      <c r="I392" s="4" t="n"/>
      <c r="J392" s="4" t="n"/>
      <c r="K392" s="4" t="inlineStr"/>
    </row>
    <row r="393">
      <c r="A393" s="4" t="inlineStr">
        <is>
          <t>A0ABR4CHZ2</t>
        </is>
      </c>
      <c r="B393" s="4" t="inlineStr">
        <is>
          <t>Oculimacula yallundae</t>
        </is>
      </c>
      <c r="C393" s="4" t="inlineStr">
        <is>
          <t>Uncharacterized protein</t>
        </is>
      </c>
      <c r="D393" s="4" t="inlineStr">
        <is>
          <t>True</t>
        </is>
      </c>
      <c r="E393" s="4" t="inlineStr">
        <is>
          <t>CTCSLFFDLHNSP</t>
        </is>
      </c>
      <c r="F393" s="4" t="n">
        <v>6</v>
      </c>
      <c r="G393" s="4" t="inlineStr"/>
      <c r="H393" s="4" t="n"/>
      <c r="I393" s="4" t="n"/>
      <c r="J393" s="4" t="n"/>
      <c r="K393" s="4" t="inlineStr"/>
    </row>
    <row r="394">
      <c r="A394" s="4" t="inlineStr">
        <is>
          <t>A0ABR4F1W0</t>
        </is>
      </c>
      <c r="B394" s="4" t="inlineStr">
        <is>
          <t>Diaporthe vaccinii</t>
        </is>
      </c>
      <c r="C394" s="4" t="inlineStr">
        <is>
          <t>Chalcone synthase</t>
        </is>
      </c>
      <c r="D394" s="4" t="inlineStr">
        <is>
          <t>True</t>
        </is>
      </c>
      <c r="E394" s="4" t="inlineStr">
        <is>
          <t>CTCCIFFYLHNSP</t>
        </is>
      </c>
      <c r="F394" s="4" t="n">
        <v>6</v>
      </c>
      <c r="G394" s="4" t="inlineStr"/>
      <c r="H394" s="4" t="n"/>
      <c r="I394" s="4" t="n"/>
      <c r="J394" s="4" t="n"/>
      <c r="K394" s="4" t="inlineStr"/>
    </row>
    <row r="395">
      <c r="A395" s="4" t="inlineStr">
        <is>
          <t>A0ABR4GLN7</t>
        </is>
      </c>
      <c r="B395" s="4" t="inlineStr">
        <is>
          <t>Aspergillus keveii</t>
        </is>
      </c>
      <c r="C395" s="4" t="inlineStr">
        <is>
          <t>Thiolase-like protein</t>
        </is>
      </c>
      <c r="D395" s="4" t="inlineStr">
        <is>
          <t>True</t>
        </is>
      </c>
      <c r="E395" s="4" t="inlineStr">
        <is>
          <t>ATCCNFFTLHNSP</t>
        </is>
      </c>
      <c r="F395" s="4" t="n">
        <v>6</v>
      </c>
      <c r="G395" s="4" t="inlineStr">
        <is>
          <t>AthePKS</t>
        </is>
      </c>
      <c r="H395" s="4" t="n">
        <v>0.6929999999999999</v>
      </c>
      <c r="I395" s="4" t="n">
        <v>0</v>
      </c>
      <c r="J395" s="4" t="n">
        <v>6</v>
      </c>
      <c r="K395" s="4" t="inlineStr">
        <is>
          <t>N-CH3-anthraniloyl-coa,benzoyl-coa,decanoyl-coa,hexanoyl-coa,methylcrotonyl-coa,myristoyl-coa</t>
        </is>
      </c>
    </row>
    <row r="396">
      <c r="A396" s="4" t="inlineStr">
        <is>
          <t>A0ABR4J1Q2</t>
        </is>
      </c>
      <c r="B396" s="4" t="inlineStr">
        <is>
          <t>Aspergillus pseudoustus</t>
        </is>
      </c>
      <c r="C396" s="4" t="inlineStr">
        <is>
          <t>Thiolase-like protein</t>
        </is>
      </c>
      <c r="D396" s="4" t="inlineStr">
        <is>
          <t>True</t>
        </is>
      </c>
      <c r="E396" s="4" t="inlineStr">
        <is>
          <t>ATCCNFFVLHNSP</t>
        </is>
      </c>
      <c r="F396" s="4" t="n">
        <v>6</v>
      </c>
      <c r="G396" s="4" t="inlineStr"/>
      <c r="H396" s="4" t="n"/>
      <c r="I396" s="4" t="n"/>
      <c r="J396" s="4" t="n"/>
      <c r="K396" s="4" t="inlineStr"/>
    </row>
    <row r="397">
      <c r="A397" s="4" t="inlineStr">
        <is>
          <t>A0ABR4PEQ7</t>
        </is>
      </c>
      <c r="B397" s="4" t="inlineStr">
        <is>
          <t>Phlyctema vagabunda</t>
        </is>
      </c>
      <c r="C397" s="4" t="inlineStr">
        <is>
          <t>Stilbene synthase 2</t>
        </is>
      </c>
      <c r="D397" s="4" t="inlineStr">
        <is>
          <t>True</t>
        </is>
      </c>
      <c r="E397" s="4" t="inlineStr">
        <is>
          <t>CTCSMFFDLHNSP</t>
        </is>
      </c>
      <c r="F397" s="4" t="n">
        <v>6</v>
      </c>
      <c r="G397" s="4" t="inlineStr"/>
      <c r="H397" s="4" t="n"/>
      <c r="I397" s="4" t="n"/>
      <c r="J397" s="4" t="n"/>
      <c r="K397" s="4" t="inlineStr"/>
    </row>
    <row r="398">
      <c r="A398" s="4" t="inlineStr">
        <is>
          <t>A0ABY0GT09</t>
        </is>
      </c>
      <c r="B398" s="4" t="inlineStr">
        <is>
          <t>Monosporascus cannonballus</t>
        </is>
      </c>
      <c r="C398" s="4" t="inlineStr">
        <is>
          <t>Chalcone/stilbene synthase N-terminal domain-containing protein</t>
        </is>
      </c>
      <c r="D398" s="4" t="inlineStr">
        <is>
          <t>True</t>
        </is>
      </c>
      <c r="E398" s="4" t="inlineStr">
        <is>
          <t>CTCSLFFDLHNSP</t>
        </is>
      </c>
      <c r="F398" s="4" t="n">
        <v>6</v>
      </c>
      <c r="G398" s="4" t="inlineStr"/>
      <c r="H398" s="4" t="n"/>
      <c r="I398" s="4" t="n"/>
      <c r="J398" s="4" t="n"/>
      <c r="K398" s="4" t="inlineStr"/>
    </row>
    <row r="399">
      <c r="A399" s="4" t="inlineStr">
        <is>
          <t>A0ABY6TSL1</t>
        </is>
      </c>
      <c r="B399" s="4" t="inlineStr">
        <is>
          <t>Bionectria ochroleuca</t>
        </is>
      </c>
      <c r="C399" s="4" t="inlineStr">
        <is>
          <t>Uncharacterized protein</t>
        </is>
      </c>
      <c r="D399" s="4" t="inlineStr">
        <is>
          <t>True</t>
        </is>
      </c>
      <c r="E399" s="4" t="inlineStr">
        <is>
          <t>CTCCLFFDLHNSP</t>
        </is>
      </c>
      <c r="F399" s="4" t="n">
        <v>6</v>
      </c>
      <c r="G399" s="4" t="inlineStr"/>
      <c r="H399" s="4" t="n"/>
      <c r="I399" s="4" t="n"/>
      <c r="J399" s="4" t="n"/>
      <c r="K399" s="4" t="inlineStr"/>
    </row>
    <row r="400">
      <c r="A400" s="4" t="inlineStr">
        <is>
          <t>A0ABY6USD3</t>
        </is>
      </c>
      <c r="B400" s="4" t="inlineStr">
        <is>
          <t>Bionectria ochroleuca</t>
        </is>
      </c>
      <c r="C400" s="4" t="inlineStr">
        <is>
          <t>Uncharacterized protein</t>
        </is>
      </c>
      <c r="D400" s="4" t="inlineStr">
        <is>
          <t>True</t>
        </is>
      </c>
      <c r="E400" s="4" t="inlineStr">
        <is>
          <t>CTCSLFFNLHNSP</t>
        </is>
      </c>
      <c r="F400" s="4" t="n">
        <v>6</v>
      </c>
      <c r="G400" s="4" t="inlineStr"/>
      <c r="H400" s="4" t="n"/>
      <c r="I400" s="4" t="n"/>
      <c r="J400" s="4" t="n"/>
      <c r="K400" s="4" t="inlineStr"/>
    </row>
    <row r="401">
      <c r="A401" s="4" t="inlineStr">
        <is>
          <t>A0ACA9UCT8</t>
        </is>
      </c>
      <c r="B401" s="4" t="inlineStr">
        <is>
          <t>Clonostachys rosea f. rosea IK726</t>
        </is>
      </c>
      <c r="C401" s="4" t="inlineStr">
        <is>
          <t>Uncharacterized protein</t>
        </is>
      </c>
      <c r="D401" s="4" t="inlineStr">
        <is>
          <t>True</t>
        </is>
      </c>
      <c r="E401" s="4" t="inlineStr">
        <is>
          <t>CTCCLFFDLHNSP</t>
        </is>
      </c>
      <c r="F401" s="4" t="n">
        <v>6</v>
      </c>
      <c r="G401" s="4" t="inlineStr"/>
      <c r="H401" s="4" t="n"/>
      <c r="I401" s="4" t="n"/>
      <c r="J401" s="4" t="n"/>
      <c r="K401" s="4" t="inlineStr"/>
    </row>
    <row r="402">
      <c r="A402" s="4" t="inlineStr">
        <is>
          <t>A0ACB9YP28</t>
        </is>
      </c>
      <c r="B402" s="4" t="inlineStr">
        <is>
          <t>Hypoxylon rubiginosum</t>
        </is>
      </c>
      <c r="C402" s="4" t="inlineStr">
        <is>
          <t>Thiolase-like protein</t>
        </is>
      </c>
      <c r="D402" s="4" t="inlineStr">
        <is>
          <t>True</t>
        </is>
      </c>
      <c r="E402" s="4" t="inlineStr">
        <is>
          <t>CTCSMFFDLHNSP</t>
        </is>
      </c>
      <c r="F402" s="4" t="n">
        <v>6</v>
      </c>
      <c r="G402" s="4" t="inlineStr">
        <is>
          <t>BiscPKS</t>
        </is>
      </c>
      <c r="H402" s="4" t="n">
        <v>0.303</v>
      </c>
      <c r="I402" s="4" t="n">
        <v>0</v>
      </c>
      <c r="J402" s="4" t="n">
        <v>0</v>
      </c>
      <c r="K402" s="4" t="inlineStr"/>
    </row>
    <row r="403">
      <c r="A403" s="4" t="inlineStr">
        <is>
          <t>A0ACC0CTB6</t>
        </is>
      </c>
      <c r="B403" s="4" t="inlineStr">
        <is>
          <t>Hypoxylon rubiginosum</t>
        </is>
      </c>
      <c r="C403" s="4" t="inlineStr">
        <is>
          <t>Thiolase-like protein</t>
        </is>
      </c>
      <c r="D403" s="4" t="inlineStr">
        <is>
          <t>True</t>
        </is>
      </c>
      <c r="E403" s="4" t="inlineStr">
        <is>
          <t>CTCSMFFDLHNSP</t>
        </is>
      </c>
      <c r="F403" s="4" t="n">
        <v>6</v>
      </c>
      <c r="G403" s="4" t="inlineStr"/>
      <c r="H403" s="4" t="n"/>
      <c r="I403" s="4" t="n"/>
      <c r="J403" s="4" t="n"/>
      <c r="K403" s="4" t="inlineStr"/>
    </row>
    <row r="404">
      <c r="A404" s="4" t="inlineStr">
        <is>
          <t>A0ACC0TQK0</t>
        </is>
      </c>
      <c r="B404" s="4" t="inlineStr">
        <is>
          <t>Russula earlei</t>
        </is>
      </c>
      <c r="C404" s="4" t="inlineStr">
        <is>
          <t>Naringenin-chalcone synthase</t>
        </is>
      </c>
      <c r="D404" s="4" t="inlineStr">
        <is>
          <t>True</t>
        </is>
      </c>
      <c r="E404" s="4" t="inlineStr">
        <is>
          <t>CTCCHFWQLHNSP</t>
        </is>
      </c>
      <c r="F404" s="4" t="n">
        <v>6</v>
      </c>
      <c r="G404" s="4" t="inlineStr"/>
      <c r="H404" s="4" t="n"/>
      <c r="I404" s="4" t="n"/>
      <c r="J404" s="4" t="n"/>
      <c r="K404" s="4" t="inlineStr"/>
    </row>
    <row r="405">
      <c r="A405" s="4" t="inlineStr">
        <is>
          <t>A0ACC0V293</t>
        </is>
      </c>
      <c r="B405" s="4" t="inlineStr">
        <is>
          <t>Trichothecium roseum</t>
        </is>
      </c>
      <c r="C405" s="4" t="inlineStr">
        <is>
          <t>Uncharacterized protein</t>
        </is>
      </c>
      <c r="D405" s="4" t="inlineStr">
        <is>
          <t>True</t>
        </is>
      </c>
      <c r="E405" s="4" t="inlineStr">
        <is>
          <t>CTCSLFFDLHNSP</t>
        </is>
      </c>
      <c r="F405" s="4" t="n">
        <v>6</v>
      </c>
      <c r="G405" s="4" t="inlineStr"/>
      <c r="H405" s="4" t="n"/>
      <c r="I405" s="4" t="n"/>
      <c r="J405" s="4" t="n"/>
      <c r="K405" s="4" t="inlineStr"/>
    </row>
    <row r="406">
      <c r="A406" s="4" t="inlineStr">
        <is>
          <t>A0ACC1T004</t>
        </is>
      </c>
      <c r="B406" s="4" t="inlineStr">
        <is>
          <t>Fusarium decemcellulare</t>
        </is>
      </c>
      <c r="C406" s="4" t="inlineStr">
        <is>
          <t>Uncharacterized protein</t>
        </is>
      </c>
      <c r="D406" s="4" t="inlineStr">
        <is>
          <t>True</t>
        </is>
      </c>
      <c r="E406" s="4" t="inlineStr">
        <is>
          <t>CTCSLFFDLHNSP</t>
        </is>
      </c>
      <c r="F406" s="4" t="n">
        <v>6</v>
      </c>
      <c r="G406" s="4" t="inlineStr"/>
      <c r="H406" s="4" t="n"/>
      <c r="I406" s="4" t="n"/>
      <c r="J406" s="4" t="n"/>
      <c r="K406" s="4" t="inlineStr"/>
    </row>
    <row r="407">
      <c r="A407" s="4" t="inlineStr">
        <is>
          <t>A0ACC1TE54</t>
        </is>
      </c>
      <c r="B407" s="4" t="inlineStr">
        <is>
          <t>Phlebia brevispora</t>
        </is>
      </c>
      <c r="C407" s="4" t="inlineStr">
        <is>
          <t>Uncharacterized protein</t>
        </is>
      </c>
      <c r="D407" s="4" t="inlineStr">
        <is>
          <t>True</t>
        </is>
      </c>
      <c r="E407" s="4" t="inlineStr">
        <is>
          <t>CTCAMFFDLHNSP</t>
        </is>
      </c>
      <c r="F407" s="4" t="n">
        <v>6</v>
      </c>
      <c r="G407" s="4" t="inlineStr"/>
      <c r="H407" s="4" t="n"/>
      <c r="I407" s="4" t="n"/>
      <c r="J407" s="4" t="n"/>
      <c r="K407" s="4" t="inlineStr"/>
    </row>
    <row r="408">
      <c r="A408" s="4" t="inlineStr">
        <is>
          <t>A0ACC3A050</t>
        </is>
      </c>
      <c r="B408" s="4" t="inlineStr">
        <is>
          <t>Neophaeococcomyces mojaviensis</t>
        </is>
      </c>
      <c r="C408" s="4" t="inlineStr">
        <is>
          <t>Uncharacterized protein</t>
        </is>
      </c>
      <c r="D408" s="4" t="inlineStr">
        <is>
          <t>True</t>
        </is>
      </c>
      <c r="E408" s="4" t="inlineStr">
        <is>
          <t>CTCCNFFLLHNSP</t>
        </is>
      </c>
      <c r="F408" s="4" t="n">
        <v>6</v>
      </c>
      <c r="G408" s="4" t="inlineStr"/>
      <c r="H408" s="4" t="n"/>
      <c r="I408" s="4" t="n"/>
      <c r="J408" s="4" t="n"/>
      <c r="K408" s="4" t="inlineStr"/>
    </row>
    <row r="409">
      <c r="A409" s="4" t="inlineStr">
        <is>
          <t>A0ACC3AEV6</t>
        </is>
      </c>
      <c r="B409" s="4" t="inlineStr">
        <is>
          <t>Neophaeococcomyces mojaviensis</t>
        </is>
      </c>
      <c r="C409" s="4" t="inlineStr">
        <is>
          <t>Uncharacterized protein</t>
        </is>
      </c>
      <c r="D409" s="4" t="inlineStr">
        <is>
          <t>True</t>
        </is>
      </c>
      <c r="E409" s="4" t="inlineStr">
        <is>
          <t>CTCSFFFDLHNSP</t>
        </is>
      </c>
      <c r="F409" s="4" t="n">
        <v>6</v>
      </c>
      <c r="G409" s="4" t="inlineStr"/>
      <c r="H409" s="4" t="n"/>
      <c r="I409" s="4" t="n"/>
      <c r="J409" s="4" t="n"/>
      <c r="K409" s="4" t="inlineStr"/>
    </row>
    <row r="410">
      <c r="A410" s="4" t="inlineStr">
        <is>
          <t>A0ACC3YQF5</t>
        </is>
      </c>
      <c r="B410" s="4" t="inlineStr">
        <is>
          <t>Colletotrichum truncatum</t>
        </is>
      </c>
      <c r="C410" s="4" t="inlineStr">
        <is>
          <t>Chalcone and stilbene synthase domain-containing protein</t>
        </is>
      </c>
      <c r="D410" s="4" t="inlineStr">
        <is>
          <t>True</t>
        </is>
      </c>
      <c r="E410" s="4" t="inlineStr">
        <is>
          <t>CTCSLFFDLHNSP</t>
        </is>
      </c>
      <c r="F410" s="4" t="n">
        <v>6</v>
      </c>
      <c r="G410" s="4" t="inlineStr"/>
      <c r="H410" s="4" t="n"/>
      <c r="I410" s="4" t="n"/>
      <c r="J410" s="4" t="n"/>
      <c r="K410" s="4" t="inlineStr"/>
    </row>
    <row r="411">
      <c r="A411" s="4" t="inlineStr">
        <is>
          <t>A0ACC3YST6</t>
        </is>
      </c>
      <c r="B411" s="4" t="inlineStr">
        <is>
          <t>Colletotrichum truncatum</t>
        </is>
      </c>
      <c r="C411" s="4" t="inlineStr">
        <is>
          <t>Chalcone synthase B</t>
        </is>
      </c>
      <c r="D411" s="4" t="inlineStr">
        <is>
          <t>True</t>
        </is>
      </c>
      <c r="E411" s="4" t="inlineStr">
        <is>
          <t>VGCCYFAMIHNGP</t>
        </is>
      </c>
      <c r="F411" s="4" t="n">
        <v>6</v>
      </c>
      <c r="G411" s="4" t="inlineStr"/>
      <c r="H411" s="4" t="n"/>
      <c r="I411" s="4" t="n"/>
      <c r="J411" s="4" t="n"/>
      <c r="K411" s="4" t="inlineStr"/>
    </row>
    <row r="412">
      <c r="A412" s="4" t="inlineStr">
        <is>
          <t>A7EAK6</t>
        </is>
      </c>
      <c r="B412" s="4" t="inlineStr">
        <is>
          <t>Sclerotinia sclerotiorum (strain ATCC 18683 / 1980 / Ss-1)</t>
        </is>
      </c>
      <c r="C412" s="4" t="inlineStr">
        <is>
          <t>Thiolase-like protein</t>
        </is>
      </c>
      <c r="D412" s="4" t="inlineStr">
        <is>
          <t>True</t>
        </is>
      </c>
      <c r="E412" s="4" t="inlineStr">
        <is>
          <t>CTCSLFFDLHNSP</t>
        </is>
      </c>
      <c r="F412" s="4" t="n">
        <v>6</v>
      </c>
      <c r="G412" s="4" t="inlineStr"/>
      <c r="H412" s="4" t="n"/>
      <c r="I412" s="4" t="n"/>
      <c r="J412" s="4" t="n"/>
      <c r="K412" s="4" t="inlineStr"/>
    </row>
    <row r="413">
      <c r="A413" s="4" t="inlineStr">
        <is>
          <t>B2AQY4</t>
        </is>
      </c>
      <c r="B413" s="4" t="inlineStr">
        <is>
          <t>Podospora anserina (strain S / ATCC MYA-4624 / DSM 980 / FGSC 10383)</t>
        </is>
      </c>
      <c r="C413" s="4" t="inlineStr">
        <is>
          <t>Chalcone synthase</t>
        </is>
      </c>
      <c r="D413" s="4" t="inlineStr">
        <is>
          <t>True</t>
        </is>
      </c>
      <c r="E413" s="4" t="inlineStr">
        <is>
          <t>CTCSLFFDLHNSP</t>
        </is>
      </c>
      <c r="F413" s="4" t="n">
        <v>6</v>
      </c>
      <c r="G413" s="4" t="inlineStr"/>
      <c r="H413" s="4" t="n"/>
      <c r="I413" s="4" t="n"/>
      <c r="J413" s="4" t="n"/>
      <c r="K413" s="4" t="inlineStr"/>
    </row>
    <row r="414">
      <c r="A414" s="4" t="inlineStr">
        <is>
          <t>C4JSL0</t>
        </is>
      </c>
      <c r="B414" s="4" t="inlineStr">
        <is>
          <t>Uncinocarpus reesii (strain UAMH 1704)</t>
        </is>
      </c>
      <c r="C414" s="4" t="inlineStr">
        <is>
          <t>Chalcone synthase</t>
        </is>
      </c>
      <c r="D414" s="4" t="inlineStr">
        <is>
          <t>True</t>
        </is>
      </c>
      <c r="E414" s="4" t="inlineStr">
        <is>
          <t>CTCPLFFNVHNSP</t>
        </is>
      </c>
      <c r="F414" s="4" t="n">
        <v>6</v>
      </c>
      <c r="G414" s="4" t="inlineStr"/>
      <c r="H414" s="4" t="n"/>
      <c r="I414" s="4" t="n"/>
      <c r="J414" s="4" t="n"/>
      <c r="K414" s="4" t="inlineStr"/>
    </row>
    <row r="415">
      <c r="A415" s="4" t="inlineStr">
        <is>
          <t>C5FX60</t>
        </is>
      </c>
      <c r="B415" s="4" t="inlineStr">
        <is>
          <t>Arthroderma otae (strain ATCC MYA-4605 / CBS 113480)</t>
        </is>
      </c>
      <c r="C415" s="4" t="inlineStr">
        <is>
          <t>Chalcone synthase B</t>
        </is>
      </c>
      <c r="D415" s="4" t="inlineStr">
        <is>
          <t>True</t>
        </is>
      </c>
      <c r="E415" s="4" t="inlineStr">
        <is>
          <t>CTCCNFFFLHNSP</t>
        </is>
      </c>
      <c r="F415" s="4" t="n">
        <v>6</v>
      </c>
      <c r="G415" s="4" t="inlineStr"/>
      <c r="H415" s="4" t="n"/>
      <c r="I415" s="4" t="n"/>
      <c r="J415" s="4" t="n"/>
      <c r="K415" s="4" t="inlineStr"/>
    </row>
    <row r="416">
      <c r="A416" s="4" t="inlineStr">
        <is>
          <t>D4AT57</t>
        </is>
      </c>
      <c r="B416" s="4" t="inlineStr">
        <is>
          <t>Arthroderma benhamiae (strain ATCC MYA-4681 / CBS 112371)</t>
        </is>
      </c>
      <c r="C416" s="4" t="inlineStr">
        <is>
          <t>Chalcone synthase</t>
        </is>
      </c>
      <c r="D416" s="4" t="inlineStr">
        <is>
          <t>True</t>
        </is>
      </c>
      <c r="E416" s="4" t="inlineStr">
        <is>
          <t>CTCCNFCYLHNSP</t>
        </is>
      </c>
      <c r="F416" s="4" t="n">
        <v>6</v>
      </c>
      <c r="G416" s="4" t="inlineStr"/>
      <c r="H416" s="4" t="n"/>
      <c r="I416" s="4" t="n"/>
      <c r="J416" s="4" t="n"/>
      <c r="K416" s="4" t="inlineStr"/>
    </row>
    <row r="417">
      <c r="A417" s="4" t="inlineStr">
        <is>
          <t>E3QX44</t>
        </is>
      </c>
      <c r="B417" s="4" t="inlineStr">
        <is>
          <t>Colletotrichum graminicola (strain M1.001 / M2 / FGSC 10212)</t>
        </is>
      </c>
      <c r="C417" s="4" t="inlineStr">
        <is>
          <t>Chalcone and stilbene synthase domain-containing protein</t>
        </is>
      </c>
      <c r="D417" s="4" t="inlineStr">
        <is>
          <t>True</t>
        </is>
      </c>
      <c r="E417" s="4" t="inlineStr">
        <is>
          <t>CTCSMFFDLHNSP</t>
        </is>
      </c>
      <c r="F417" s="4" t="n">
        <v>6</v>
      </c>
      <c r="G417" s="4" t="inlineStr"/>
      <c r="H417" s="4" t="n"/>
      <c r="I417" s="4" t="n"/>
      <c r="J417" s="4" t="n"/>
      <c r="K417" s="4" t="inlineStr"/>
    </row>
    <row r="418">
      <c r="A418" s="4" t="inlineStr">
        <is>
          <t>E4UVT6</t>
        </is>
      </c>
      <c r="B418" s="4" t="inlineStr">
        <is>
          <t>Arthroderma gypseum (strain ATCC MYA-4604 / CBS 118893)</t>
        </is>
      </c>
      <c r="C418" s="4" t="inlineStr">
        <is>
          <t>Chalcone synthase B</t>
        </is>
      </c>
      <c r="D418" s="4" t="inlineStr">
        <is>
          <t>True</t>
        </is>
      </c>
      <c r="E418" s="4" t="inlineStr">
        <is>
          <t>CTCCNFCYLHNSP</t>
        </is>
      </c>
      <c r="F418" s="4" t="n">
        <v>6</v>
      </c>
      <c r="G418" s="4" t="inlineStr"/>
      <c r="H418" s="4" t="n"/>
      <c r="I418" s="4" t="n"/>
      <c r="J418" s="4" t="n"/>
      <c r="K418" s="4" t="inlineStr"/>
    </row>
    <row r="419">
      <c r="A419" s="4" t="inlineStr">
        <is>
          <t>F0XBZ2</t>
        </is>
      </c>
      <c r="B419" s="4" t="inlineStr">
        <is>
          <t>Grosmannia clavigera (strain kw1407 / UAMH 11150)</t>
        </is>
      </c>
      <c r="C419" s="4" t="inlineStr">
        <is>
          <t>A chain crystal structure of a type 3 polyketide synthase pksiiinc from neurospora crassa</t>
        </is>
      </c>
      <c r="D419" s="4" t="inlineStr">
        <is>
          <t>True</t>
        </is>
      </c>
      <c r="E419" s="4" t="inlineStr">
        <is>
          <t>CTCSMFFNLHNSP</t>
        </is>
      </c>
      <c r="F419" s="4" t="n">
        <v>6</v>
      </c>
      <c r="G419" s="4" t="inlineStr"/>
      <c r="H419" s="4" t="n"/>
      <c r="I419" s="4" t="n"/>
      <c r="J419" s="4" t="n"/>
      <c r="K419" s="4" t="inlineStr"/>
    </row>
    <row r="420">
      <c r="A420" s="4" t="inlineStr">
        <is>
          <t>F7VW59</t>
        </is>
      </c>
      <c r="B420" s="4" t="inlineStr">
        <is>
          <t>Sordaria macrospora (strain ATCC MYA-333 / DSM 997 / K(L3346) / K-hell)</t>
        </is>
      </c>
      <c r="C420" s="4" t="inlineStr">
        <is>
          <t>Putative type III polyketide synthase</t>
        </is>
      </c>
      <c r="D420" s="4" t="inlineStr">
        <is>
          <t>True</t>
        </is>
      </c>
      <c r="E420" s="4" t="inlineStr">
        <is>
          <t>CTCSMFFDLHNSP</t>
        </is>
      </c>
      <c r="F420" s="4" t="n">
        <v>6</v>
      </c>
      <c r="G420" s="4" t="inlineStr"/>
      <c r="H420" s="4" t="n"/>
      <c r="I420" s="4" t="n"/>
      <c r="J420" s="4" t="n"/>
      <c r="K420" s="4" t="inlineStr"/>
    </row>
    <row r="421">
      <c r="A421" s="4" t="inlineStr">
        <is>
          <t>G1X3L4</t>
        </is>
      </c>
      <c r="B421" s="4" t="inlineStr">
        <is>
          <t>Arthrobotrys oligospora (strain ATCC 24927 / CBS 115.81 / DSM 1491)</t>
        </is>
      </c>
      <c r="C421" s="4" t="inlineStr">
        <is>
          <t>Type III Polyketide synthases (Type III PKS)</t>
        </is>
      </c>
      <c r="D421" s="4" t="inlineStr">
        <is>
          <t>True</t>
        </is>
      </c>
      <c r="E421" s="4" t="inlineStr">
        <is>
          <t>CTCCLFFDLHNSP</t>
        </is>
      </c>
      <c r="F421" s="4" t="n">
        <v>6</v>
      </c>
      <c r="G421" s="4" t="inlineStr"/>
      <c r="H421" s="4" t="n"/>
      <c r="I421" s="4" t="n"/>
      <c r="J421" s="4" t="n"/>
      <c r="K421" s="4" t="inlineStr"/>
    </row>
    <row r="422">
      <c r="A422" s="4" t="inlineStr">
        <is>
          <t>G2QF11</t>
        </is>
      </c>
      <c r="B422" s="4" t="inlineStr">
        <is>
          <t>Thermothelomyces thermophilus (strain ATCC 42464 / BCRC 31852 / DSM 1799)</t>
        </is>
      </c>
      <c r="C422" s="4" t="inlineStr">
        <is>
          <t>Uncharacterized protein</t>
        </is>
      </c>
      <c r="D422" s="4" t="inlineStr">
        <is>
          <t>True</t>
        </is>
      </c>
      <c r="E422" s="4" t="inlineStr">
        <is>
          <t>CTCSLFFDLHNSP</t>
        </is>
      </c>
      <c r="F422" s="4" t="n">
        <v>6</v>
      </c>
      <c r="G422" s="4" t="inlineStr"/>
      <c r="H422" s="4" t="n"/>
      <c r="I422" s="4" t="n"/>
      <c r="J422" s="4" t="n"/>
      <c r="K422" s="4" t="inlineStr"/>
    </row>
    <row r="423">
      <c r="A423" s="4" t="inlineStr">
        <is>
          <t>G2QSN3</t>
        </is>
      </c>
      <c r="B423" s="4" t="inlineStr">
        <is>
          <t>Thermothielavioides terrestris (strain ATCC 38088 / NRRL 8126)</t>
        </is>
      </c>
      <c r="C423" s="4" t="inlineStr">
        <is>
          <t>Uncharacterized protein</t>
        </is>
      </c>
      <c r="D423" s="4" t="inlineStr">
        <is>
          <t>True</t>
        </is>
      </c>
      <c r="E423" s="4" t="inlineStr">
        <is>
          <t>CTCSLFFNLHNSP</t>
        </is>
      </c>
      <c r="F423" s="4" t="n">
        <v>6</v>
      </c>
      <c r="G423" s="4" t="inlineStr"/>
      <c r="H423" s="4" t="n"/>
      <c r="I423" s="4" t="n"/>
      <c r="J423" s="4" t="n"/>
      <c r="K423" s="4" t="inlineStr"/>
    </row>
    <row r="424">
      <c r="A424" s="4" t="inlineStr">
        <is>
          <t>G2XAU7</t>
        </is>
      </c>
      <c r="B424" s="4" t="inlineStr">
        <is>
          <t>Verticillium dahliae (strain VdLs.17 / ATCC MYA-4575 / FGSC 10137)</t>
        </is>
      </c>
      <c r="C424" s="4" t="inlineStr">
        <is>
          <t>Chalcone and stilbene synthase domain-containing protein</t>
        </is>
      </c>
      <c r="D424" s="4" t="inlineStr">
        <is>
          <t>True</t>
        </is>
      </c>
      <c r="E424" s="4" t="inlineStr">
        <is>
          <t>CTCSMFFDLHNSP</t>
        </is>
      </c>
      <c r="F424" s="4" t="n">
        <v>6</v>
      </c>
      <c r="G424" s="4" t="inlineStr"/>
      <c r="H424" s="4" t="n"/>
      <c r="I424" s="4" t="n"/>
      <c r="J424" s="4" t="n"/>
      <c r="K424" s="4" t="inlineStr"/>
    </row>
    <row r="425">
      <c r="A425" s="4" t="inlineStr">
        <is>
          <t>H6C6Q8</t>
        </is>
      </c>
      <c r="B425" s="4" t="inlineStr">
        <is>
          <t>Exophiala dermatitidis (strain ATCC 34100 / CBS 525.76 / NIH/UT8656)</t>
        </is>
      </c>
      <c r="C425" s="4" t="inlineStr">
        <is>
          <t>Chalcone synthase</t>
        </is>
      </c>
      <c r="D425" s="4" t="inlineStr">
        <is>
          <t>True</t>
        </is>
      </c>
      <c r="E425" s="4" t="inlineStr">
        <is>
          <t>CTCSLFFDLHNSP</t>
        </is>
      </c>
      <c r="F425" s="4" t="n">
        <v>6</v>
      </c>
      <c r="G425" s="4" t="inlineStr"/>
      <c r="H425" s="4" t="n"/>
      <c r="I425" s="4" t="n"/>
      <c r="J425" s="4" t="n"/>
      <c r="K425" s="4" t="inlineStr"/>
    </row>
    <row r="426">
      <c r="A426" s="4" t="inlineStr">
        <is>
          <t>J3KJU3</t>
        </is>
      </c>
      <c r="B426" s="4" t="inlineStr">
        <is>
          <t>Coccidioides immitis (strain RS)</t>
        </is>
      </c>
      <c r="C426" s="4" t="inlineStr">
        <is>
          <t>Chalcone synthase</t>
        </is>
      </c>
      <c r="D426" s="4" t="inlineStr">
        <is>
          <t>True</t>
        </is>
      </c>
      <c r="E426" s="4" t="inlineStr">
        <is>
          <t>CTCPLFFNVHNSP</t>
        </is>
      </c>
      <c r="F426" s="4" t="n">
        <v>6</v>
      </c>
      <c r="G426" s="4" t="inlineStr"/>
      <c r="H426" s="4" t="n"/>
      <c r="I426" s="4" t="n"/>
      <c r="J426" s="4" t="n"/>
      <c r="K426" s="4" t="inlineStr"/>
    </row>
    <row r="427">
      <c r="A427" s="4" t="inlineStr">
        <is>
          <t>J3NIV0</t>
        </is>
      </c>
      <c r="B427" s="4" t="inlineStr">
        <is>
          <t>Gaeumannomyces tritici (strain R3-111a-1)</t>
        </is>
      </c>
      <c r="C427" s="4" t="inlineStr">
        <is>
          <t>Uncharacterized protein</t>
        </is>
      </c>
      <c r="D427" s="4" t="inlineStr">
        <is>
          <t>True</t>
        </is>
      </c>
      <c r="E427" s="4" t="inlineStr">
        <is>
          <t>CTCSFFFDLHNSP</t>
        </is>
      </c>
      <c r="F427" s="4" t="n">
        <v>6</v>
      </c>
      <c r="G427" s="4" t="inlineStr"/>
      <c r="H427" s="4" t="n"/>
      <c r="I427" s="4" t="n"/>
      <c r="J427" s="4" t="n"/>
      <c r="K427" s="4" t="inlineStr"/>
    </row>
    <row r="428">
      <c r="A428" s="4" t="inlineStr">
        <is>
          <t>J5JMB4</t>
        </is>
      </c>
      <c r="B428" s="4" t="inlineStr">
        <is>
          <t>Beauveria bassiana (strain ARSEF 2860)</t>
        </is>
      </c>
      <c r="C428" s="4" t="inlineStr">
        <is>
          <t>Chalcone synthase B</t>
        </is>
      </c>
      <c r="D428" s="4" t="inlineStr">
        <is>
          <t>True</t>
        </is>
      </c>
      <c r="E428" s="4" t="inlineStr">
        <is>
          <t>CTCCNFFYLHNSP</t>
        </is>
      </c>
      <c r="F428" s="4" t="n">
        <v>6</v>
      </c>
      <c r="G428" s="4" t="inlineStr"/>
      <c r="H428" s="4" t="n"/>
      <c r="I428" s="4" t="n"/>
      <c r="J428" s="4" t="n"/>
      <c r="K428" s="4" t="inlineStr"/>
    </row>
    <row r="429">
      <c r="A429" s="4" t="inlineStr">
        <is>
          <t>M7TSD2</t>
        </is>
      </c>
      <c r="B429" s="4" t="inlineStr">
        <is>
          <t>Eutypa lata (strain UCR-EL1)</t>
        </is>
      </c>
      <c r="C429" s="4" t="inlineStr">
        <is>
          <t>Putative chalcone synthase c protein</t>
        </is>
      </c>
      <c r="D429" s="4" t="inlineStr">
        <is>
          <t>True</t>
        </is>
      </c>
      <c r="E429" s="4" t="inlineStr">
        <is>
          <t>CTCSFFFDLHNSP</t>
        </is>
      </c>
      <c r="F429" s="4" t="n">
        <v>6</v>
      </c>
      <c r="G429" s="4" t="inlineStr"/>
      <c r="H429" s="4" t="n"/>
      <c r="I429" s="4" t="n"/>
      <c r="J429" s="4" t="n"/>
      <c r="K429" s="4" t="inlineStr"/>
    </row>
    <row r="430">
      <c r="A430" s="4" t="inlineStr">
        <is>
          <t>N1J930</t>
        </is>
      </c>
      <c r="B430" s="4" t="inlineStr">
        <is>
          <t>Blumeria graminis f. sp. hordei (strain DH14)</t>
        </is>
      </c>
      <c r="C430" s="4" t="inlineStr">
        <is>
          <t>Polyketide Synthase</t>
        </is>
      </c>
      <c r="D430" s="4" t="inlineStr">
        <is>
          <t>True</t>
        </is>
      </c>
      <c r="E430" s="4" t="inlineStr">
        <is>
          <t>CTCCLFFDLHNSP</t>
        </is>
      </c>
      <c r="F430" s="4" t="n">
        <v>6</v>
      </c>
      <c r="G430" s="4" t="inlineStr"/>
      <c r="H430" s="4" t="n"/>
      <c r="I430" s="4" t="n"/>
      <c r="J430" s="4" t="n"/>
      <c r="K430" s="4" t="inlineStr"/>
    </row>
    <row r="431">
      <c r="A431" s="4" t="inlineStr">
        <is>
          <t>P0DUK2</t>
        </is>
      </c>
      <c r="B431" s="4" t="inlineStr">
        <is>
          <t>Penicillium soppii</t>
        </is>
      </c>
      <c r="C431" s="4" t="inlineStr">
        <is>
          <t>Type III polyketide synthase pspB</t>
        </is>
      </c>
      <c r="D431" s="4" t="inlineStr">
        <is>
          <t>True</t>
        </is>
      </c>
      <c r="E431" s="4" t="inlineStr">
        <is>
          <t>CTCCNFFFLHNSP</t>
        </is>
      </c>
      <c r="F431" s="4" t="n">
        <v>6</v>
      </c>
      <c r="G431" s="4" t="inlineStr">
        <is>
          <t>AlupPKS1</t>
        </is>
      </c>
      <c r="H431" s="4" t="n">
        <v>0.251</v>
      </c>
      <c r="I431" s="4" t="n">
        <v>1</v>
      </c>
      <c r="J431" s="4" t="n">
        <v>7</v>
      </c>
      <c r="K431" s="4" t="inlineStr">
        <is>
          <t>benzoyl-coa,coumaroyl-coa,decanoyl-coa,hexanoyl-coa,methylcrotonyl-coa,myristoyl-coa,phenylacetyl-coa</t>
        </is>
      </c>
    </row>
    <row r="432">
      <c r="A432" s="4" t="inlineStr">
        <is>
          <t>R8BSB6</t>
        </is>
      </c>
      <c r="B432" s="4" t="inlineStr">
        <is>
          <t>Phaeoacremonium minimum (strain UCR-PA7)</t>
        </is>
      </c>
      <c r="C432" s="4" t="inlineStr">
        <is>
          <t>Putative chalcone synthase c protein</t>
        </is>
      </c>
      <c r="D432" s="4" t="inlineStr">
        <is>
          <t>True</t>
        </is>
      </c>
      <c r="E432" s="4" t="inlineStr">
        <is>
          <t>CTCSMFFDLHNSP</t>
        </is>
      </c>
      <c r="F432" s="4" t="n">
        <v>6</v>
      </c>
      <c r="G432" s="4" t="inlineStr"/>
      <c r="H432" s="4" t="n"/>
      <c r="I432" s="4" t="n"/>
      <c r="J432" s="4" t="n"/>
      <c r="K432" s="4" t="inlineStr"/>
    </row>
    <row r="433">
      <c r="A433" s="4" t="inlineStr">
        <is>
          <t>S3CF48</t>
        </is>
      </c>
      <c r="B433" s="4" t="inlineStr">
        <is>
          <t>Ophiostoma piceae (strain UAMH 11346)</t>
        </is>
      </c>
      <c r="C433" s="4" t="inlineStr">
        <is>
          <t>Chalcone synthase c</t>
        </is>
      </c>
      <c r="D433" s="4" t="inlineStr">
        <is>
          <t>True</t>
        </is>
      </c>
      <c r="E433" s="4" t="inlineStr">
        <is>
          <t>CTCSMFFDLHNSP</t>
        </is>
      </c>
      <c r="F433" s="4" t="n">
        <v>6</v>
      </c>
      <c r="G433" s="4" t="inlineStr"/>
      <c r="H433" s="4" t="n"/>
      <c r="I433" s="4" t="n"/>
      <c r="J433" s="4" t="n"/>
      <c r="K433" s="4" t="inlineStr"/>
    </row>
    <row r="434">
      <c r="A434" s="4" t="inlineStr">
        <is>
          <t>S3CGA1</t>
        </is>
      </c>
      <c r="B434" s="4" t="inlineStr">
        <is>
          <t>Glarea lozoyensis (strain ATCC 20868 / MF5171)</t>
        </is>
      </c>
      <c r="C434" s="4" t="inlineStr">
        <is>
          <t>Thiolase-like protein</t>
        </is>
      </c>
      <c r="D434" s="4" t="inlineStr">
        <is>
          <t>True</t>
        </is>
      </c>
      <c r="E434" s="4" t="inlineStr">
        <is>
          <t>CTCSLFFDLHNSP</t>
        </is>
      </c>
      <c r="F434" s="4" t="n">
        <v>6</v>
      </c>
      <c r="G434" s="4" t="inlineStr"/>
      <c r="H434" s="4" t="n"/>
      <c r="I434" s="4" t="n"/>
      <c r="J434" s="4" t="n"/>
      <c r="K434" s="4" t="inlineStr"/>
    </row>
    <row r="435">
      <c r="A435" s="4" t="inlineStr">
        <is>
          <t>S8BVV0</t>
        </is>
      </c>
      <c r="B435" s="4" t="inlineStr">
        <is>
          <t>Dactylellina haptotyla (strain CBS 200.50)</t>
        </is>
      </c>
      <c r="C435" s="4" t="inlineStr">
        <is>
          <t>Chalcone/stilbene synthase N-terminal domain-containing protein</t>
        </is>
      </c>
      <c r="D435" s="4" t="inlineStr">
        <is>
          <t>True</t>
        </is>
      </c>
      <c r="E435" s="4" t="inlineStr">
        <is>
          <t>CTCCLFFDLHNSP</t>
        </is>
      </c>
      <c r="F435" s="4" t="n">
        <v>6</v>
      </c>
      <c r="G435" s="4" t="inlineStr"/>
      <c r="H435" s="4" t="n"/>
      <c r="I435" s="4" t="n"/>
      <c r="J435" s="4" t="n"/>
      <c r="K435" s="4" t="inlineStr"/>
    </row>
    <row r="436">
      <c r="A436" s="4" t="inlineStr">
        <is>
          <t>W2S6L9</t>
        </is>
      </c>
      <c r="B436" s="4" t="inlineStr">
        <is>
          <t>Cyphellophora europaea (strain CBS 101466)</t>
        </is>
      </c>
      <c r="C436" s="4" t="inlineStr">
        <is>
          <t>Chalcone synthase</t>
        </is>
      </c>
      <c r="D436" s="4" t="inlineStr">
        <is>
          <t>True</t>
        </is>
      </c>
      <c r="E436" s="4" t="inlineStr">
        <is>
          <t>CTCSFFFDLHNSP</t>
        </is>
      </c>
      <c r="F436" s="4" t="n">
        <v>6</v>
      </c>
      <c r="G436" s="4" t="inlineStr"/>
      <c r="H436" s="4" t="n"/>
      <c r="I436" s="4" t="n"/>
      <c r="J436" s="4" t="n"/>
      <c r="K436" s="4" t="inlineStr"/>
    </row>
    <row r="437">
      <c r="A437" s="4" t="inlineStr">
        <is>
          <t>W9CHY2</t>
        </is>
      </c>
      <c r="B437" s="4" t="inlineStr">
        <is>
          <t>Sclerotinia borealis (strain F-4128)</t>
        </is>
      </c>
      <c r="C437" s="4" t="inlineStr">
        <is>
          <t>Thiolase-like protein</t>
        </is>
      </c>
      <c r="D437" s="4" t="inlineStr">
        <is>
          <t>True</t>
        </is>
      </c>
      <c r="E437" s="4" t="inlineStr">
        <is>
          <t>CTCSLFFDLHNSP</t>
        </is>
      </c>
      <c r="F437" s="4" t="n">
        <v>6</v>
      </c>
      <c r="G437" s="4" t="inlineStr"/>
      <c r="H437" s="4" t="n"/>
      <c r="I437" s="4" t="n"/>
      <c r="J437" s="4" t="n"/>
      <c r="K437" s="4" t="inlineStr"/>
    </row>
    <row r="438">
      <c r="A438" s="4" t="inlineStr">
        <is>
          <t>W9Y2I5</t>
        </is>
      </c>
      <c r="B438" s="4" t="inlineStr">
        <is>
          <t>Capronia epimyces CBS 606.96</t>
        </is>
      </c>
      <c r="C438" s="4" t="inlineStr">
        <is>
          <t>Chalcone synthase</t>
        </is>
      </c>
      <c r="D438" s="4" t="inlineStr">
        <is>
          <t>True</t>
        </is>
      </c>
      <c r="E438" s="4" t="inlineStr">
        <is>
          <t>CTCSLFFNLHNSP</t>
        </is>
      </c>
      <c r="F438" s="4" t="n">
        <v>6</v>
      </c>
      <c r="G438" s="4" t="inlineStr"/>
      <c r="H438" s="4" t="n"/>
      <c r="I438" s="4" t="n"/>
      <c r="J438" s="4" t="n"/>
      <c r="K438" s="4" t="inlineStr"/>
    </row>
    <row r="439">
      <c r="A439" s="4" t="inlineStr">
        <is>
          <t>W9Y6Q1</t>
        </is>
      </c>
      <c r="B439" s="4" t="inlineStr">
        <is>
          <t>Capronia coronata CBS 617.96</t>
        </is>
      </c>
      <c r="C439" s="4" t="inlineStr">
        <is>
          <t>Chalcone synthase</t>
        </is>
      </c>
      <c r="D439" s="4" t="inlineStr">
        <is>
          <t>True</t>
        </is>
      </c>
      <c r="E439" s="4" t="inlineStr">
        <is>
          <t>CTCSLFFDLHNSP</t>
        </is>
      </c>
      <c r="F439" s="4" t="n">
        <v>6</v>
      </c>
      <c r="G439" s="4" t="inlineStr"/>
      <c r="H439" s="4" t="n"/>
      <c r="I439" s="4" t="n"/>
      <c r="J439" s="4" t="n"/>
      <c r="K439" s="4" t="inlineStr"/>
    </row>
    <row r="440">
      <c r="A440" s="5" t="inlineStr">
        <is>
          <t>A0AA39U5E8</t>
        </is>
      </c>
      <c r="B440" s="5" t="inlineStr">
        <is>
          <t>Immersiella caudata</t>
        </is>
      </c>
      <c r="C440" s="5" t="inlineStr">
        <is>
          <t>Thiolase-like protein</t>
        </is>
      </c>
      <c r="D440" s="5" t="inlineStr">
        <is>
          <t>False</t>
        </is>
      </c>
      <c r="E440" s="5" t="inlineStr">
        <is>
          <t>GSCTNFSLMHSAP</t>
        </is>
      </c>
      <c r="F440" s="5" t="n">
        <v>6</v>
      </c>
      <c r="G440" s="5" t="inlineStr"/>
      <c r="H440" s="5" t="n"/>
      <c r="I440" s="5" t="n"/>
      <c r="J440" s="5" t="n"/>
      <c r="K440" s="5" t="inlineStr"/>
    </row>
    <row r="441">
      <c r="A441" s="4" t="inlineStr">
        <is>
          <t>A0A0F7ZVP0</t>
        </is>
      </c>
      <c r="B441" s="4" t="inlineStr">
        <is>
          <t>Hirsutella minnesotensis 3608</t>
        </is>
      </c>
      <c r="C441" s="4" t="inlineStr">
        <is>
          <t>Alpha-pyrone synthesis polyketide synthase-like Pks18</t>
        </is>
      </c>
      <c r="D441" s="4" t="inlineStr">
        <is>
          <t>True</t>
        </is>
      </c>
      <c r="E441" s="4" t="inlineStr">
        <is>
          <t>STC--FLGLHNLP</t>
        </is>
      </c>
      <c r="F441" s="4" t="n">
        <v>5</v>
      </c>
      <c r="G441" s="4" t="inlineStr"/>
      <c r="H441" s="4" t="n"/>
      <c r="I441" s="4" t="n"/>
      <c r="J441" s="4" t="n"/>
      <c r="K441" s="4" t="inlineStr"/>
    </row>
    <row r="442">
      <c r="A442" s="4" t="inlineStr">
        <is>
          <t>A0A0F7ZWY9</t>
        </is>
      </c>
      <c r="B442" s="4" t="inlineStr">
        <is>
          <t>Hirsutella minnesotensis 3608</t>
        </is>
      </c>
      <c r="C442" s="4" t="inlineStr">
        <is>
          <t>Alpha-pyrone synthesis polyketide synthase-like Pks18</t>
        </is>
      </c>
      <c r="D442" s="4" t="inlineStr">
        <is>
          <t>True</t>
        </is>
      </c>
      <c r="E442" s="4" t="inlineStr">
        <is>
          <t>STC--FLGLHNLP</t>
        </is>
      </c>
      <c r="F442" s="4" t="n">
        <v>5</v>
      </c>
      <c r="G442" s="4" t="inlineStr"/>
      <c r="H442" s="4" t="n"/>
      <c r="I442" s="4" t="n"/>
      <c r="J442" s="4" t="n"/>
      <c r="K442" s="4" t="inlineStr"/>
    </row>
    <row r="443">
      <c r="A443" s="4" t="inlineStr">
        <is>
          <t>A0A145YFN8</t>
        </is>
      </c>
      <c r="B443" s="4" t="inlineStr">
        <is>
          <t>Sporotrichum laxum</t>
        </is>
      </c>
      <c r="C443" s="4" t="inlineStr">
        <is>
          <t>Type III polyketide synthase</t>
        </is>
      </c>
      <c r="D443" s="4" t="inlineStr">
        <is>
          <t>True</t>
        </is>
      </c>
      <c r="E443" s="4" t="inlineStr">
        <is>
          <t>CTCVLYFDLHNSP</t>
        </is>
      </c>
      <c r="F443" s="4" t="n">
        <v>5</v>
      </c>
      <c r="G443" s="4" t="inlineStr"/>
      <c r="H443" s="4" t="n"/>
      <c r="I443" s="4" t="n"/>
      <c r="J443" s="4" t="n"/>
      <c r="K443" s="4" t="inlineStr"/>
    </row>
    <row r="444">
      <c r="A444" s="4" t="inlineStr">
        <is>
          <t>A0A165HS99</t>
        </is>
      </c>
      <c r="B444" s="4" t="inlineStr">
        <is>
          <t>Calocera cornea HHB12733</t>
        </is>
      </c>
      <c r="C444" s="4" t="inlineStr">
        <is>
          <t>Thiolase-like protein</t>
        </is>
      </c>
      <c r="D444" s="4" t="inlineStr">
        <is>
          <t>True</t>
        </is>
      </c>
      <c r="E444" s="4" t="inlineStr">
        <is>
          <t>VCCPYFVNLHNAP</t>
        </is>
      </c>
      <c r="F444" s="4" t="n">
        <v>5</v>
      </c>
      <c r="G444" s="4" t="inlineStr"/>
      <c r="H444" s="4" t="n"/>
      <c r="I444" s="4" t="n"/>
      <c r="J444" s="4" t="n"/>
      <c r="K444" s="4" t="inlineStr"/>
    </row>
    <row r="445">
      <c r="A445" s="4" t="inlineStr">
        <is>
          <t>A0A167LZZ0</t>
        </is>
      </c>
      <c r="B445" s="4" t="inlineStr">
        <is>
          <t>Calocera viscosa (strain TUFC12733)</t>
        </is>
      </c>
      <c r="C445" s="4" t="inlineStr">
        <is>
          <t>Thiolase-like protein</t>
        </is>
      </c>
      <c r="D445" s="4" t="inlineStr">
        <is>
          <t>True</t>
        </is>
      </c>
      <c r="E445" s="4" t="inlineStr">
        <is>
          <t>VCCAYFVNLHNAP</t>
        </is>
      </c>
      <c r="F445" s="4" t="n">
        <v>5</v>
      </c>
      <c r="G445" s="4" t="inlineStr"/>
      <c r="H445" s="4" t="n"/>
      <c r="I445" s="4" t="n"/>
      <c r="J445" s="4" t="n"/>
      <c r="K445" s="4" t="inlineStr"/>
    </row>
    <row r="446">
      <c r="A446" s="4" t="inlineStr">
        <is>
          <t>A0A1L9UN15</t>
        </is>
      </c>
      <c r="B446" s="4" t="inlineStr">
        <is>
          <t>Aspergillus brasiliensis (strain CBS 101740 / IMI 381727 / IBT 21946)</t>
        </is>
      </c>
      <c r="C446" s="4" t="inlineStr">
        <is>
          <t>Chalcone synthase</t>
        </is>
      </c>
      <c r="D446" s="4" t="inlineStr">
        <is>
          <t>True</t>
        </is>
      </c>
      <c r="E446" s="4" t="inlineStr">
        <is>
          <t>ATCCQFVYFHNST</t>
        </is>
      </c>
      <c r="F446" s="4" t="n">
        <v>5</v>
      </c>
      <c r="G446" s="4" t="inlineStr"/>
      <c r="H446" s="4" t="n"/>
      <c r="I446" s="4" t="n"/>
      <c r="J446" s="4" t="n"/>
      <c r="K446" s="4" t="inlineStr"/>
    </row>
    <row r="447">
      <c r="A447" s="4" t="inlineStr">
        <is>
          <t>A0A1V6Q379</t>
        </is>
      </c>
      <c r="B447" s="4" t="inlineStr">
        <is>
          <t>Penicillium antarcticum</t>
        </is>
      </c>
      <c r="C447" s="4" t="inlineStr">
        <is>
          <t>Chalcone/stilbene synthase N-terminal domain-containing protein</t>
        </is>
      </c>
      <c r="D447" s="4" t="inlineStr">
        <is>
          <t>True</t>
        </is>
      </c>
      <c r="E447" s="4" t="inlineStr">
        <is>
          <t>CTCCNFFYLHNSS</t>
        </is>
      </c>
      <c r="F447" s="4" t="n">
        <v>5</v>
      </c>
      <c r="G447" s="4" t="inlineStr"/>
      <c r="H447" s="4" t="n"/>
      <c r="I447" s="4" t="n"/>
      <c r="J447" s="4" t="n"/>
      <c r="K447" s="4" t="inlineStr"/>
    </row>
    <row r="448">
      <c r="A448" s="4" t="inlineStr">
        <is>
          <t>A0A1W2TQJ5</t>
        </is>
      </c>
      <c r="B448" s="4" t="inlineStr">
        <is>
          <t>Rosellinia necatrix</t>
        </is>
      </c>
      <c r="C448" s="4" t="inlineStr">
        <is>
          <t>Chalcone synthase B</t>
        </is>
      </c>
      <c r="D448" s="4" t="inlineStr">
        <is>
          <t>True</t>
        </is>
      </c>
      <c r="E448" s="4" t="inlineStr">
        <is>
          <t>ATCSNFVTLHNAP</t>
        </is>
      </c>
      <c r="F448" s="4" t="n">
        <v>5</v>
      </c>
      <c r="G448" s="4" t="inlineStr"/>
      <c r="H448" s="4" t="n"/>
      <c r="I448" s="4" t="n"/>
      <c r="J448" s="4" t="n"/>
      <c r="K448" s="4" t="inlineStr"/>
    </row>
    <row r="449">
      <c r="A449" s="4" t="inlineStr">
        <is>
          <t>A0A317USQ3</t>
        </is>
      </c>
      <c r="B449" s="4" t="inlineStr">
        <is>
          <t>Aspergillus eucalypticola (strain CBS 122712 / IBT 29274)</t>
        </is>
      </c>
      <c r="C449" s="4" t="inlineStr">
        <is>
          <t>Chalcone synthase B</t>
        </is>
      </c>
      <c r="D449" s="4" t="inlineStr">
        <is>
          <t>True</t>
        </is>
      </c>
      <c r="E449" s="4" t="inlineStr">
        <is>
          <t>ATCCQFVKFHNST</t>
        </is>
      </c>
      <c r="F449" s="4" t="n">
        <v>5</v>
      </c>
      <c r="G449" s="4" t="inlineStr">
        <is>
          <t>AastPKS</t>
        </is>
      </c>
      <c r="H449" s="4" t="n">
        <v>0.6830000000000001</v>
      </c>
      <c r="I449" s="4" t="n">
        <v>0</v>
      </c>
      <c r="J449" s="4" t="n">
        <v>6</v>
      </c>
      <c r="K449" s="4" t="inlineStr">
        <is>
          <t>benzoyl-coa,decanoyl-coa,hexanoyl-coa,myristoyl-coa,oleoyl-coa,phytanoyl-coa</t>
        </is>
      </c>
    </row>
    <row r="450">
      <c r="A450" s="4" t="inlineStr">
        <is>
          <t>A0A319BDQ7</t>
        </is>
      </c>
      <c r="B450" s="4" t="inlineStr">
        <is>
          <t>Aspergillus vadensis (strain CBS 113365 / IMI 142717 / IBT 24658)</t>
        </is>
      </c>
      <c r="C450" s="4" t="inlineStr">
        <is>
          <t>Chalcone synthase B</t>
        </is>
      </c>
      <c r="D450" s="4" t="inlineStr">
        <is>
          <t>True</t>
        </is>
      </c>
      <c r="E450" s="4" t="inlineStr">
        <is>
          <t>ATCCQFVKFHNST</t>
        </is>
      </c>
      <c r="F450" s="4" t="n">
        <v>5</v>
      </c>
      <c r="G450" s="4" t="inlineStr"/>
      <c r="H450" s="4" t="n"/>
      <c r="I450" s="4" t="n"/>
      <c r="J450" s="4" t="n"/>
      <c r="K450" s="4" t="inlineStr"/>
    </row>
    <row r="451">
      <c r="A451" s="4" t="inlineStr">
        <is>
          <t>A0A428TV54</t>
        </is>
      </c>
      <c r="B451" s="4" t="inlineStr">
        <is>
          <t>Fusarium oligoseptatum</t>
        </is>
      </c>
      <c r="C451" s="4" t="inlineStr">
        <is>
          <t>Uncharacterized protein</t>
        </is>
      </c>
      <c r="D451" s="4" t="inlineStr">
        <is>
          <t>True</t>
        </is>
      </c>
      <c r="E451" s="4" t="inlineStr">
        <is>
          <t>CTCSM-FDLHNSP</t>
        </is>
      </c>
      <c r="F451" s="4" t="n">
        <v>5</v>
      </c>
      <c r="G451" s="4" t="inlineStr"/>
      <c r="H451" s="4" t="n"/>
      <c r="I451" s="4" t="n"/>
      <c r="J451" s="4" t="n"/>
      <c r="K451" s="4" t="inlineStr"/>
    </row>
    <row r="452">
      <c r="A452" s="4" t="inlineStr">
        <is>
          <t>A0A439D4A0</t>
        </is>
      </c>
      <c r="B452" s="4" t="inlineStr">
        <is>
          <t>Xylaria grammica</t>
        </is>
      </c>
      <c r="C452" s="4" t="inlineStr">
        <is>
          <t>Chalcone/stilbene synthase C-terminal domain-containing protein</t>
        </is>
      </c>
      <c r="D452" s="4" t="inlineStr">
        <is>
          <t>True</t>
        </is>
      </c>
      <c r="E452" s="4" t="inlineStr">
        <is>
          <t>CTC---FDLHNSP</t>
        </is>
      </c>
      <c r="F452" s="4" t="n">
        <v>5</v>
      </c>
      <c r="G452" s="4" t="inlineStr"/>
      <c r="H452" s="4" t="n"/>
      <c r="I452" s="4" t="n"/>
      <c r="J452" s="4" t="n"/>
      <c r="K452" s="4" t="inlineStr"/>
    </row>
    <row r="453">
      <c r="A453" s="4" t="inlineStr">
        <is>
          <t>A0A439DKJ4</t>
        </is>
      </c>
      <c r="B453" s="4" t="inlineStr">
        <is>
          <t>Xylaria grammica</t>
        </is>
      </c>
      <c r="C453" s="4" t="inlineStr">
        <is>
          <t>Chalcone synthase</t>
        </is>
      </c>
      <c r="D453" s="4" t="inlineStr">
        <is>
          <t>True</t>
        </is>
      </c>
      <c r="E453" s="4" t="inlineStr">
        <is>
          <t>ATCSNFVTLHNAP</t>
        </is>
      </c>
      <c r="F453" s="4" t="n">
        <v>5</v>
      </c>
      <c r="G453" s="4" t="inlineStr"/>
      <c r="H453" s="4" t="n"/>
      <c r="I453" s="4" t="n"/>
      <c r="J453" s="4" t="n"/>
      <c r="K453" s="4" t="inlineStr"/>
    </row>
    <row r="454">
      <c r="A454" s="4" t="inlineStr">
        <is>
          <t>A0A4S3JIC4</t>
        </is>
      </c>
      <c r="B454" s="4" t="inlineStr">
        <is>
          <t>Aspergillus tanneri</t>
        </is>
      </c>
      <c r="C454" s="4" t="inlineStr">
        <is>
          <t>Type III Polyketide synthases (Type III PKS)</t>
        </is>
      </c>
      <c r="D454" s="4" t="inlineStr">
        <is>
          <t>True</t>
        </is>
      </c>
      <c r="E454" s="4" t="inlineStr">
        <is>
          <t>STC--FLGLHNLP</t>
        </is>
      </c>
      <c r="F454" s="4" t="n">
        <v>5</v>
      </c>
      <c r="G454" s="4" t="inlineStr"/>
      <c r="H454" s="4" t="n"/>
      <c r="I454" s="4" t="n"/>
      <c r="J454" s="4" t="n"/>
      <c r="K454" s="4" t="inlineStr"/>
    </row>
    <row r="455">
      <c r="A455" s="4" t="inlineStr">
        <is>
          <t>A0A4Z0YH81</t>
        </is>
      </c>
      <c r="B455" s="4" t="inlineStr">
        <is>
          <t>Xylaria hypoxylon</t>
        </is>
      </c>
      <c r="C455" s="4" t="inlineStr">
        <is>
          <t>Chalcone synthase</t>
        </is>
      </c>
      <c r="D455" s="4" t="inlineStr">
        <is>
          <t>True</t>
        </is>
      </c>
      <c r="E455" s="4" t="inlineStr">
        <is>
          <t>ATCSNFVTLHNAP</t>
        </is>
      </c>
      <c r="F455" s="4" t="n">
        <v>5</v>
      </c>
      <c r="G455" s="4" t="inlineStr"/>
      <c r="H455" s="4" t="n"/>
      <c r="I455" s="4" t="n"/>
      <c r="J455" s="4" t="n"/>
      <c r="K455" s="4" t="inlineStr"/>
    </row>
    <row r="456">
      <c r="A456" s="4" t="inlineStr">
        <is>
          <t>A0A5N6TB57</t>
        </is>
      </c>
      <c r="B456" s="4" t="inlineStr">
        <is>
          <t>Aspergillus pseudotamarii</t>
        </is>
      </c>
      <c r="C456" s="4" t="inlineStr">
        <is>
          <t>Thiolase-like protein</t>
        </is>
      </c>
      <c r="D456" s="4" t="inlineStr">
        <is>
          <t>True</t>
        </is>
      </c>
      <c r="E456" s="4" t="inlineStr">
        <is>
          <t>CTCPFFYKIHNVH</t>
        </is>
      </c>
      <c r="F456" s="4" t="n">
        <v>5</v>
      </c>
      <c r="G456" s="4" t="inlineStr"/>
      <c r="H456" s="4" t="n"/>
      <c r="I456" s="4" t="n"/>
      <c r="J456" s="4" t="n"/>
      <c r="K456" s="4" t="inlineStr"/>
    </row>
    <row r="457">
      <c r="A457" s="3" t="inlineStr">
        <is>
          <t>A0A5N6V0I9</t>
        </is>
      </c>
      <c r="B457" s="3" t="inlineStr">
        <is>
          <t>Aspergillus tamarii</t>
        </is>
      </c>
      <c r="C457" s="3" t="inlineStr">
        <is>
          <t>Thiolase-like protein</t>
        </is>
      </c>
      <c r="D457" s="3" t="inlineStr">
        <is>
          <t>True</t>
        </is>
      </c>
      <c r="E457" s="3" t="inlineStr">
        <is>
          <t>CTCPFFFDIHNIH</t>
        </is>
      </c>
      <c r="F457" s="3" t="n">
        <v>5</v>
      </c>
      <c r="G457" s="3" t="inlineStr">
        <is>
          <t>AtamPKS2</t>
        </is>
      </c>
      <c r="H457" s="3" t="n">
        <v>1</v>
      </c>
      <c r="I457" s="3" t="n">
        <v>0</v>
      </c>
      <c r="J457" s="3" t="n">
        <v>0</v>
      </c>
      <c r="K457" s="3" t="inlineStr"/>
    </row>
    <row r="458">
      <c r="A458" s="4" t="inlineStr">
        <is>
          <t>A0A5N6W9V2</t>
        </is>
      </c>
      <c r="B458" s="4" t="inlineStr">
        <is>
          <t>Aspergillus transmontanensis</t>
        </is>
      </c>
      <c r="C458" s="4" t="inlineStr">
        <is>
          <t>Thiolase-like protein</t>
        </is>
      </c>
      <c r="D458" s="4" t="inlineStr">
        <is>
          <t>True</t>
        </is>
      </c>
      <c r="E458" s="4" t="inlineStr">
        <is>
          <t>CTCPFFFDIHNIH</t>
        </is>
      </c>
      <c r="F458" s="4" t="n">
        <v>5</v>
      </c>
      <c r="G458" s="4" t="inlineStr"/>
      <c r="H458" s="4" t="n"/>
      <c r="I458" s="4" t="n"/>
      <c r="J458" s="4" t="n"/>
      <c r="K458" s="4" t="inlineStr"/>
    </row>
    <row r="459">
      <c r="A459" s="4" t="inlineStr">
        <is>
          <t>A0A5N7CXL2</t>
        </is>
      </c>
      <c r="B459" s="4" t="inlineStr">
        <is>
          <t>Aspergillus pseudonomiae</t>
        </is>
      </c>
      <c r="C459" s="4" t="inlineStr">
        <is>
          <t>Thiolase-like protein</t>
        </is>
      </c>
      <c r="D459" s="4" t="inlineStr">
        <is>
          <t>True</t>
        </is>
      </c>
      <c r="E459" s="4" t="inlineStr">
        <is>
          <t>CTCPFFFKIHNVH</t>
        </is>
      </c>
      <c r="F459" s="4" t="n">
        <v>5</v>
      </c>
      <c r="G459" s="4" t="inlineStr"/>
      <c r="H459" s="4" t="n"/>
      <c r="I459" s="4" t="n"/>
      <c r="J459" s="4" t="n"/>
      <c r="K459" s="4" t="inlineStr"/>
    </row>
    <row r="460">
      <c r="A460" s="4" t="inlineStr">
        <is>
          <t>A0A7C8IFZ2</t>
        </is>
      </c>
      <c r="B460" s="4" t="inlineStr">
        <is>
          <t>Xylaria multiplex</t>
        </is>
      </c>
      <c r="C460" s="4" t="inlineStr">
        <is>
          <t>Chalcone synthase</t>
        </is>
      </c>
      <c r="D460" s="4" t="inlineStr">
        <is>
          <t>True</t>
        </is>
      </c>
      <c r="E460" s="4" t="inlineStr">
        <is>
          <t>ATCSNFVTLHNAP</t>
        </is>
      </c>
      <c r="F460" s="4" t="n">
        <v>5</v>
      </c>
      <c r="G460" s="4" t="inlineStr"/>
      <c r="H460" s="4" t="n"/>
      <c r="I460" s="4" t="n"/>
      <c r="J460" s="4" t="n"/>
      <c r="K460" s="4" t="inlineStr"/>
    </row>
    <row r="461">
      <c r="A461" s="4" t="inlineStr">
        <is>
          <t>A0A9N8P5P6</t>
        </is>
      </c>
      <c r="B461" s="4" t="inlineStr">
        <is>
          <t>Aureobasidium vineae</t>
        </is>
      </c>
      <c r="C461" s="4" t="inlineStr">
        <is>
          <t>Chalcone/stilbene synthase C-terminal domain-containing protein</t>
        </is>
      </c>
      <c r="D461" s="4" t="inlineStr">
        <is>
          <t>True</t>
        </is>
      </c>
      <c r="E461" s="4" t="inlineStr">
        <is>
          <t>--C--FFRLHNS-</t>
        </is>
      </c>
      <c r="F461" s="4" t="n">
        <v>5</v>
      </c>
      <c r="G461" s="4" t="inlineStr"/>
      <c r="H461" s="4" t="n"/>
      <c r="I461" s="4" t="n"/>
      <c r="J461" s="4" t="n"/>
      <c r="K461" s="4" t="inlineStr"/>
    </row>
    <row r="462">
      <c r="A462" s="4" t="inlineStr">
        <is>
          <t>A0A9P3L7D7</t>
        </is>
      </c>
      <c r="B462" s="4" t="inlineStr">
        <is>
          <t>Phanerochaete sordida</t>
        </is>
      </c>
      <c r="C462" s="4" t="inlineStr">
        <is>
          <t>Chalcone synthase</t>
        </is>
      </c>
      <c r="D462" s="4" t="inlineStr">
        <is>
          <t>True</t>
        </is>
      </c>
      <c r="E462" s="4" t="inlineStr">
        <is>
          <t>CTCALYFDLHNSP</t>
        </is>
      </c>
      <c r="F462" s="4" t="n">
        <v>5</v>
      </c>
      <c r="G462" s="4" t="inlineStr"/>
      <c r="H462" s="4" t="n"/>
      <c r="I462" s="4" t="n"/>
      <c r="J462" s="4" t="n"/>
      <c r="K462" s="4" t="inlineStr"/>
    </row>
    <row r="463">
      <c r="A463" s="4" t="inlineStr">
        <is>
          <t>A0A9P6VPD5</t>
        </is>
      </c>
      <c r="B463" s="4" t="inlineStr">
        <is>
          <t>Hyphodiscus hymeniophilus</t>
        </is>
      </c>
      <c r="C463" s="4" t="inlineStr">
        <is>
          <t>Thiolase like protein</t>
        </is>
      </c>
      <c r="D463" s="4" t="inlineStr">
        <is>
          <t>True</t>
        </is>
      </c>
      <c r="E463" s="4" t="inlineStr">
        <is>
          <t>CTC---FDLHNSP</t>
        </is>
      </c>
      <c r="F463" s="4" t="n">
        <v>5</v>
      </c>
      <c r="G463" s="4" t="inlineStr"/>
      <c r="H463" s="4" t="n"/>
      <c r="I463" s="4" t="n"/>
      <c r="J463" s="4" t="n"/>
      <c r="K463" s="4" t="inlineStr"/>
    </row>
    <row r="464">
      <c r="A464" s="4" t="inlineStr">
        <is>
          <t>A0A9P9DC98</t>
        </is>
      </c>
      <c r="B464" s="4" t="inlineStr">
        <is>
          <t>Dactylonectria estremocensis</t>
        </is>
      </c>
      <c r="C464" s="4" t="inlineStr">
        <is>
          <t>Chalcone/stilbene synthase</t>
        </is>
      </c>
      <c r="D464" s="4" t="inlineStr">
        <is>
          <t>True</t>
        </is>
      </c>
      <c r="E464" s="4" t="inlineStr">
        <is>
          <t>STC--FLGLHNLP</t>
        </is>
      </c>
      <c r="F464" s="4" t="n">
        <v>5</v>
      </c>
      <c r="G464" s="4" t="inlineStr"/>
      <c r="H464" s="4" t="n"/>
      <c r="I464" s="4" t="n"/>
      <c r="J464" s="4" t="n"/>
      <c r="K464" s="4" t="inlineStr"/>
    </row>
    <row r="465">
      <c r="A465" s="4" t="inlineStr">
        <is>
          <t>A0A9P9J4G7</t>
        </is>
      </c>
      <c r="B465" s="4" t="inlineStr">
        <is>
          <t>Dactylonectria macrodidyma</t>
        </is>
      </c>
      <c r="C465" s="4" t="inlineStr">
        <is>
          <t>Thiolase-like protein</t>
        </is>
      </c>
      <c r="D465" s="4" t="inlineStr">
        <is>
          <t>True</t>
        </is>
      </c>
      <c r="E465" s="4" t="inlineStr">
        <is>
          <t>STC--FLGLHNLP</t>
        </is>
      </c>
      <c r="F465" s="4" t="n">
        <v>5</v>
      </c>
      <c r="G465" s="4" t="inlineStr"/>
      <c r="H465" s="4" t="n"/>
      <c r="I465" s="4" t="n"/>
      <c r="J465" s="4" t="n"/>
      <c r="K465" s="4" t="inlineStr"/>
    </row>
    <row r="466">
      <c r="A466" s="4" t="inlineStr">
        <is>
          <t>A0A9Q8T8Q0</t>
        </is>
      </c>
      <c r="B466" s="4" t="inlineStr">
        <is>
          <t>Colletotrichum lupini</t>
        </is>
      </c>
      <c r="C466" s="4" t="inlineStr">
        <is>
          <t>Chalcone and stilbene synthase</t>
        </is>
      </c>
      <c r="D466" s="4" t="inlineStr">
        <is>
          <t>True</t>
        </is>
      </c>
      <c r="E466" s="4" t="inlineStr">
        <is>
          <t>CTCSMFFDLHNS-</t>
        </is>
      </c>
      <c r="F466" s="4" t="n">
        <v>5</v>
      </c>
      <c r="G466" s="4" t="inlineStr"/>
      <c r="H466" s="4" t="n"/>
      <c r="I466" s="4" t="n"/>
      <c r="J466" s="4" t="n"/>
      <c r="K466" s="4" t="inlineStr"/>
    </row>
    <row r="467">
      <c r="A467" s="4" t="inlineStr">
        <is>
          <t>A0A9W8TJ25</t>
        </is>
      </c>
      <c r="B467" s="4" t="inlineStr">
        <is>
          <t>Xylaria arbuscula</t>
        </is>
      </c>
      <c r="C467" s="4" t="inlineStr">
        <is>
          <t>Chalcone synthase B</t>
        </is>
      </c>
      <c r="D467" s="4" t="inlineStr">
        <is>
          <t>True</t>
        </is>
      </c>
      <c r="E467" s="4" t="inlineStr">
        <is>
          <t>ATCSNFVTLHNAP</t>
        </is>
      </c>
      <c r="F467" s="4" t="n">
        <v>5</v>
      </c>
      <c r="G467" s="4" t="inlineStr"/>
      <c r="H467" s="4" t="n"/>
      <c r="I467" s="4" t="n"/>
      <c r="J467" s="4" t="n"/>
      <c r="K467" s="4" t="inlineStr"/>
    </row>
    <row r="468">
      <c r="A468" s="4" t="inlineStr">
        <is>
          <t>A0A9W9LX41</t>
        </is>
      </c>
      <c r="B468" s="4" t="inlineStr">
        <is>
          <t>Penicillium capsulatum</t>
        </is>
      </c>
      <c r="C468" s="4" t="inlineStr">
        <is>
          <t>Type III Polyketide synthases (Type III PKS)</t>
        </is>
      </c>
      <c r="D468" s="4" t="inlineStr">
        <is>
          <t>True</t>
        </is>
      </c>
      <c r="E468" s="4" t="inlineStr">
        <is>
          <t>STC--FLGLHNLP</t>
        </is>
      </c>
      <c r="F468" s="4" t="n">
        <v>5</v>
      </c>
      <c r="G468" s="4" t="inlineStr"/>
      <c r="H468" s="4" t="n"/>
      <c r="I468" s="4" t="n"/>
      <c r="J468" s="4" t="n"/>
      <c r="K468" s="4" t="inlineStr"/>
    </row>
    <row r="469">
      <c r="A469" s="4" t="inlineStr">
        <is>
          <t>A0AA39XCD2</t>
        </is>
      </c>
      <c r="B469" s="4" t="inlineStr">
        <is>
          <t>Bombardia bombarda</t>
        </is>
      </c>
      <c r="C469" s="4" t="inlineStr">
        <is>
          <t>Thiolase-like protein</t>
        </is>
      </c>
      <c r="D469" s="4" t="inlineStr">
        <is>
          <t>True</t>
        </is>
      </c>
      <c r="E469" s="4" t="inlineStr">
        <is>
          <t>STC--FLGLHNLP</t>
        </is>
      </c>
      <c r="F469" s="4" t="n">
        <v>5</v>
      </c>
      <c r="G469" s="4" t="inlineStr"/>
      <c r="H469" s="4" t="n"/>
      <c r="I469" s="4" t="n"/>
      <c r="J469" s="4" t="n"/>
      <c r="K469" s="4" t="inlineStr"/>
    </row>
    <row r="470">
      <c r="A470" s="4" t="inlineStr">
        <is>
          <t>A0AAD6V8Q3</t>
        </is>
      </c>
      <c r="B470" s="4" t="inlineStr">
        <is>
          <t>Mycena pura</t>
        </is>
      </c>
      <c r="C470" s="4" t="inlineStr">
        <is>
          <t>Type Iii polyketide Synthase</t>
        </is>
      </c>
      <c r="D470" s="4" t="inlineStr">
        <is>
          <t>True</t>
        </is>
      </c>
      <c r="E470" s="4" t="inlineStr">
        <is>
          <t>CTCRLFVDLHNGP</t>
        </is>
      </c>
      <c r="F470" s="4" t="n">
        <v>5</v>
      </c>
      <c r="G470" s="4" t="inlineStr"/>
      <c r="H470" s="4" t="n"/>
      <c r="I470" s="4" t="n"/>
      <c r="J470" s="4" t="n"/>
      <c r="K470" s="4" t="inlineStr"/>
    </row>
    <row r="471">
      <c r="A471" s="4" t="inlineStr">
        <is>
          <t>A0AAD7FUW0</t>
        </is>
      </c>
      <c r="B471" s="4" t="inlineStr">
        <is>
          <t>Roridomyces roridus</t>
        </is>
      </c>
      <c r="C471" s="4" t="inlineStr">
        <is>
          <t>Type Iii polyketide Synthase (Fragment)</t>
        </is>
      </c>
      <c r="D471" s="4" t="inlineStr">
        <is>
          <t>True</t>
        </is>
      </c>
      <c r="E471" s="4" t="inlineStr">
        <is>
          <t>CTCMGFVNMHNS-</t>
        </is>
      </c>
      <c r="F471" s="4" t="n">
        <v>5</v>
      </c>
      <c r="G471" s="4" t="inlineStr"/>
      <c r="H471" s="4" t="n"/>
      <c r="I471" s="4" t="n"/>
      <c r="J471" s="4" t="n"/>
      <c r="K471" s="4" t="inlineStr"/>
    </row>
    <row r="472">
      <c r="A472" s="4" t="inlineStr">
        <is>
          <t>A0AAJ0BG24</t>
        </is>
      </c>
      <c r="B472" s="4" t="inlineStr">
        <is>
          <t>Echria macrotheca</t>
        </is>
      </c>
      <c r="C472" s="4" t="inlineStr">
        <is>
          <t>Alpha-pyrone synthesis polyketide synthase-like Pks18</t>
        </is>
      </c>
      <c r="D472" s="4" t="inlineStr">
        <is>
          <t>True</t>
        </is>
      </c>
      <c r="E472" s="4" t="inlineStr">
        <is>
          <t>STC--FLGLHNLP</t>
        </is>
      </c>
      <c r="F472" s="4" t="n">
        <v>5</v>
      </c>
      <c r="G472" s="4" t="inlineStr"/>
      <c r="H472" s="4" t="n"/>
      <c r="I472" s="4" t="n"/>
      <c r="J472" s="4" t="n"/>
      <c r="K472" s="4" t="inlineStr"/>
    </row>
    <row r="473">
      <c r="A473" s="4" t="inlineStr">
        <is>
          <t>A0AAJ0CFW4</t>
        </is>
      </c>
      <c r="B473" s="4" t="inlineStr">
        <is>
          <t>Conoideocrella luteorostrata</t>
        </is>
      </c>
      <c r="C473" s="4" t="inlineStr">
        <is>
          <t>Chalcone and stilbene synthase, C-terminal domain</t>
        </is>
      </c>
      <c r="D473" s="4" t="inlineStr">
        <is>
          <t>True</t>
        </is>
      </c>
      <c r="E473" s="4" t="inlineStr">
        <is>
          <t>STC--FLGLHNLP</t>
        </is>
      </c>
      <c r="F473" s="4" t="n">
        <v>5</v>
      </c>
      <c r="G473" s="4" t="inlineStr"/>
      <c r="H473" s="4" t="n"/>
      <c r="I473" s="4" t="n"/>
      <c r="J473" s="4" t="n"/>
      <c r="K473" s="4" t="inlineStr"/>
    </row>
    <row r="474">
      <c r="A474" s="4" t="inlineStr">
        <is>
          <t>A0AAN6MYE3</t>
        </is>
      </c>
      <c r="B474" s="4" t="inlineStr">
        <is>
          <t>Diplogelasinospora grovesii</t>
        </is>
      </c>
      <c r="C474" s="4" t="inlineStr">
        <is>
          <t>Alpha-pyrone synthesis polyketide synthase-like Pks18</t>
        </is>
      </c>
      <c r="D474" s="4" t="inlineStr">
        <is>
          <t>True</t>
        </is>
      </c>
      <c r="E474" s="4" t="inlineStr">
        <is>
          <t>STC--FLGLHNLP</t>
        </is>
      </c>
      <c r="F474" s="4" t="n">
        <v>5</v>
      </c>
      <c r="G474" s="4" t="inlineStr"/>
      <c r="H474" s="4" t="n"/>
      <c r="I474" s="4" t="n"/>
      <c r="J474" s="4" t="n"/>
      <c r="K474" s="4" t="inlineStr"/>
    </row>
    <row r="475">
      <c r="A475" s="4" t="inlineStr">
        <is>
          <t>A0AAN7B2Z0</t>
        </is>
      </c>
      <c r="B475" s="4" t="inlineStr">
        <is>
          <t>Rhypophila decipiens</t>
        </is>
      </c>
      <c r="C475" s="4" t="inlineStr">
        <is>
          <t>Thiolase-like protein</t>
        </is>
      </c>
      <c r="D475" s="4" t="inlineStr">
        <is>
          <t>True</t>
        </is>
      </c>
      <c r="E475" s="4" t="inlineStr">
        <is>
          <t>STC--FLGLHNLP</t>
        </is>
      </c>
      <c r="F475" s="4" t="n">
        <v>5</v>
      </c>
      <c r="G475" s="4" t="inlineStr"/>
      <c r="H475" s="4" t="n"/>
      <c r="I475" s="4" t="n"/>
      <c r="J475" s="4" t="n"/>
      <c r="K475" s="4" t="inlineStr"/>
    </row>
    <row r="476">
      <c r="A476" s="4" t="inlineStr">
        <is>
          <t>A0AAN7UGM4</t>
        </is>
      </c>
      <c r="B476" s="4" t="inlineStr">
        <is>
          <t>Xylaria bambusicola</t>
        </is>
      </c>
      <c r="C476" s="4" t="inlineStr">
        <is>
          <t>Chalcone synthase B</t>
        </is>
      </c>
      <c r="D476" s="4" t="inlineStr">
        <is>
          <t>True</t>
        </is>
      </c>
      <c r="E476" s="4" t="inlineStr">
        <is>
          <t>ATCSNFVTLHNAP</t>
        </is>
      </c>
      <c r="F476" s="4" t="n">
        <v>5</v>
      </c>
      <c r="G476" s="4" t="inlineStr"/>
      <c r="H476" s="4" t="n"/>
      <c r="I476" s="4" t="n"/>
      <c r="J476" s="4" t="n"/>
      <c r="K476" s="4" t="inlineStr"/>
    </row>
    <row r="477">
      <c r="A477" s="4" t="inlineStr">
        <is>
          <t>A0AB34FFE9</t>
        </is>
      </c>
      <c r="B477" s="4" t="inlineStr">
        <is>
          <t>Purpureocillium lavendulum</t>
        </is>
      </c>
      <c r="C477" s="4" t="inlineStr">
        <is>
          <t>Type iii polyketide synthase</t>
        </is>
      </c>
      <c r="D477" s="4" t="inlineStr">
        <is>
          <t>True</t>
        </is>
      </c>
      <c r="E477" s="4" t="inlineStr">
        <is>
          <t>CTCNMFFDLHNGP</t>
        </is>
      </c>
      <c r="F477" s="4" t="n">
        <v>5</v>
      </c>
      <c r="G477" s="4" t="inlineStr"/>
      <c r="H477" s="4" t="n"/>
      <c r="I477" s="4" t="n"/>
      <c r="J477" s="4" t="n"/>
      <c r="K477" s="4" t="inlineStr"/>
    </row>
    <row r="478">
      <c r="A478" s="4" t="inlineStr">
        <is>
          <t>A0ABQ6KH95</t>
        </is>
      </c>
      <c r="B478" s="4" t="inlineStr">
        <is>
          <t>Aspergillus oryzae var. brunneus</t>
        </is>
      </c>
      <c r="C478" s="4" t="inlineStr">
        <is>
          <t>Unnamed protein product</t>
        </is>
      </c>
      <c r="D478" s="4" t="inlineStr">
        <is>
          <t>True</t>
        </is>
      </c>
      <c r="E478" s="4" t="inlineStr">
        <is>
          <t>CTCPFFFNIHNIH</t>
        </is>
      </c>
      <c r="F478" s="4" t="n">
        <v>5</v>
      </c>
      <c r="G478" s="4" t="inlineStr"/>
      <c r="H478" s="4" t="n"/>
      <c r="I478" s="4" t="n"/>
      <c r="J478" s="4" t="n"/>
      <c r="K478" s="4" t="inlineStr"/>
    </row>
    <row r="479">
      <c r="A479" s="4" t="inlineStr">
        <is>
          <t>A0ABR0BK30</t>
        </is>
      </c>
      <c r="B479" s="4" t="inlineStr">
        <is>
          <t>Purpureocillium lilacinum</t>
        </is>
      </c>
      <c r="C479" s="4" t="inlineStr">
        <is>
          <t>Chalcone synthase</t>
        </is>
      </c>
      <c r="D479" s="4" t="inlineStr">
        <is>
          <t>True</t>
        </is>
      </c>
      <c r="E479" s="4" t="inlineStr">
        <is>
          <t>CTCNMFFDLHNGP</t>
        </is>
      </c>
      <c r="F479" s="4" t="n">
        <v>5</v>
      </c>
      <c r="G479" s="4" t="inlineStr"/>
      <c r="H479" s="4" t="n"/>
      <c r="I479" s="4" t="n"/>
      <c r="J479" s="4" t="n"/>
      <c r="K479" s="4" t="inlineStr"/>
    </row>
    <row r="480">
      <c r="A480" s="4" t="inlineStr">
        <is>
          <t>A0ABR0GFR3</t>
        </is>
      </c>
      <c r="B480" s="4" t="inlineStr">
        <is>
          <t>Podospora pseudocomata</t>
        </is>
      </c>
      <c r="C480" s="4" t="inlineStr">
        <is>
          <t>Chalcone synthase</t>
        </is>
      </c>
      <c r="D480" s="4" t="inlineStr">
        <is>
          <t>True</t>
        </is>
      </c>
      <c r="E480" s="4" t="inlineStr">
        <is>
          <t>CTCSLFFDLHNS-</t>
        </is>
      </c>
      <c r="F480" s="4" t="n">
        <v>5</v>
      </c>
      <c r="G480" s="4" t="inlineStr"/>
      <c r="H480" s="4" t="n"/>
      <c r="I480" s="4" t="n"/>
      <c r="J480" s="4" t="n"/>
      <c r="K480" s="4" t="inlineStr"/>
    </row>
    <row r="481">
      <c r="A481" s="4" t="inlineStr">
        <is>
          <t>A0ACC2JXP6</t>
        </is>
      </c>
      <c r="B481" s="4" t="inlineStr">
        <is>
          <t>Lasiodiplodia mahajangana</t>
        </is>
      </c>
      <c r="C481" s="4" t="inlineStr">
        <is>
          <t>Uncharacterized protein</t>
        </is>
      </c>
      <c r="D481" s="4" t="inlineStr">
        <is>
          <t>True</t>
        </is>
      </c>
      <c r="E481" s="4" t="inlineStr">
        <is>
          <t>ATCSNFVTLHNAP</t>
        </is>
      </c>
      <c r="F481" s="4" t="n">
        <v>5</v>
      </c>
      <c r="G481" s="4" t="inlineStr"/>
      <c r="H481" s="4" t="n"/>
      <c r="I481" s="4" t="n"/>
      <c r="J481" s="4" t="n"/>
      <c r="K481" s="4" t="inlineStr"/>
    </row>
    <row r="482">
      <c r="A482" s="4" t="inlineStr">
        <is>
          <t>K5X979</t>
        </is>
      </c>
      <c r="B482" s="4" t="inlineStr">
        <is>
          <t>Phanerochaete carnosa (strain HHB-10118-sp)</t>
        </is>
      </c>
      <c r="C482" s="4" t="inlineStr">
        <is>
          <t>Chalcone synthase</t>
        </is>
      </c>
      <c r="D482" s="4" t="inlineStr">
        <is>
          <t>True</t>
        </is>
      </c>
      <c r="E482" s="4" t="inlineStr">
        <is>
          <t>CTCVLYFDLHNSP</t>
        </is>
      </c>
      <c r="F482" s="4" t="n">
        <v>5</v>
      </c>
      <c r="G482" s="4" t="inlineStr"/>
      <c r="H482" s="4" t="n"/>
      <c r="I482" s="4" t="n"/>
      <c r="J482" s="4" t="n"/>
      <c r="K482" s="4" t="inlineStr"/>
    </row>
    <row r="483">
      <c r="A483" s="4" t="inlineStr">
        <is>
          <t>M5FQY3</t>
        </is>
      </c>
      <c r="B483" s="4" t="inlineStr">
        <is>
          <t>Dacryopinax primogenitus</t>
        </is>
      </c>
      <c r="C483" s="4" t="inlineStr">
        <is>
          <t>Thiolase-like protein (Fragment)</t>
        </is>
      </c>
      <c r="D483" s="4" t="inlineStr">
        <is>
          <t>True</t>
        </is>
      </c>
      <c r="E483" s="4" t="inlineStr">
        <is>
          <t>VCCAFFVPLHNAP</t>
        </is>
      </c>
      <c r="F483" s="4" t="n">
        <v>5</v>
      </c>
      <c r="G483" s="4" t="inlineStr"/>
      <c r="H483" s="4" t="n"/>
      <c r="I483" s="4" t="n"/>
      <c r="J483" s="4" t="n"/>
      <c r="K483" s="4" t="inlineStr"/>
    </row>
    <row r="484">
      <c r="A484" s="4" t="inlineStr">
        <is>
          <t>Q2U852</t>
        </is>
      </c>
      <c r="B484" s="4" t="inlineStr">
        <is>
          <t>Aspergillus oryzae (strain ATCC 42149 / RIB 40)</t>
        </is>
      </c>
      <c r="C484" s="4" t="inlineStr">
        <is>
          <t>Acylalkylpyrone synthase csyB</t>
        </is>
      </c>
      <c r="D484" s="4" t="inlineStr">
        <is>
          <t>True</t>
        </is>
      </c>
      <c r="E484" s="4" t="inlineStr">
        <is>
          <t>CTCPFFFNIHNIH</t>
        </is>
      </c>
      <c r="F484" s="4" t="n">
        <v>5</v>
      </c>
      <c r="G484" s="4" t="inlineStr"/>
      <c r="H484" s="4" t="n"/>
      <c r="I484" s="4" t="n"/>
      <c r="J484" s="4" t="n"/>
      <c r="K484" s="4" t="inlineStr"/>
    </row>
    <row r="485">
      <c r="A485" s="5" t="inlineStr">
        <is>
          <t>A0A5N6X0E9</t>
        </is>
      </c>
      <c r="B485" s="5" t="inlineStr">
        <is>
          <t>Aspergillus sergii</t>
        </is>
      </c>
      <c r="C485" s="5" t="inlineStr">
        <is>
          <t>Thiolase-like protein</t>
        </is>
      </c>
      <c r="D485" s="5" t="inlineStr">
        <is>
          <t>False</t>
        </is>
      </c>
      <c r="E485" s="5" t="inlineStr">
        <is>
          <t>AT-CQFYTLHNSP</t>
        </is>
      </c>
      <c r="F485" s="5" t="n">
        <v>5</v>
      </c>
      <c r="G485" s="5" t="inlineStr"/>
      <c r="H485" s="5" t="n"/>
      <c r="I485" s="5" t="n"/>
      <c r="J485" s="5" t="n"/>
      <c r="K485" s="5" t="inlineStr"/>
    </row>
    <row r="486">
      <c r="A486" s="5" t="inlineStr">
        <is>
          <t>A0AAJ0C0C0</t>
        </is>
      </c>
      <c r="B486" s="5" t="inlineStr">
        <is>
          <t>Phialemonium atrogriseum</t>
        </is>
      </c>
      <c r="C486" s="5" t="inlineStr">
        <is>
          <t>Thiolase-like protein</t>
        </is>
      </c>
      <c r="D486" s="5" t="inlineStr">
        <is>
          <t>False</t>
        </is>
      </c>
      <c r="E486" s="5" t="inlineStr">
        <is>
          <t>---SMFFDLHNSP</t>
        </is>
      </c>
      <c r="F486" s="5" t="n">
        <v>5</v>
      </c>
      <c r="G486" s="5" t="inlineStr"/>
      <c r="H486" s="5" t="n"/>
      <c r="I486" s="5" t="n"/>
      <c r="J486" s="5" t="n"/>
      <c r="K486" s="5" t="inlineStr"/>
    </row>
    <row r="487">
      <c r="A487" s="5" t="inlineStr">
        <is>
          <t>A0ACC2VE90</t>
        </is>
      </c>
      <c r="B487" s="5" t="inlineStr">
        <is>
          <t>Naganishia adeliensis</t>
        </is>
      </c>
      <c r="C487" s="5" t="inlineStr">
        <is>
          <t>Chalcone/stilbene synthase N-terminal domain-containing protein</t>
        </is>
      </c>
      <c r="D487" s="5" t="inlineStr">
        <is>
          <t>False</t>
        </is>
      </c>
      <c r="E487" s="5" t="inlineStr">
        <is>
          <t>--CTLFFNIH---</t>
        </is>
      </c>
      <c r="F487" s="5" t="n">
        <v>5</v>
      </c>
      <c r="G487" s="5" t="inlineStr"/>
      <c r="H487" s="5" t="n"/>
      <c r="I487" s="5" t="n"/>
      <c r="J487" s="5" t="n"/>
      <c r="K487" s="5" t="inlineStr"/>
    </row>
    <row r="488">
      <c r="A488" s="5" t="inlineStr">
        <is>
          <t>A0A0L1J6S3</t>
        </is>
      </c>
      <c r="B488" s="5" t="inlineStr">
        <is>
          <t>Aspergillus nomiae NRRL (strain ATCC 15546 / NRRL 13137 / CBS 260.88 / M93)</t>
        </is>
      </c>
      <c r="C488" s="5" t="inlineStr">
        <is>
          <t>Thiolase-like protein (Fragment)</t>
        </is>
      </c>
      <c r="D488" s="5" t="inlineStr">
        <is>
          <t>False</t>
        </is>
      </c>
      <c r="E488" s="5" t="inlineStr">
        <is>
          <t>CTCPFFLNIDSIP</t>
        </is>
      </c>
      <c r="F488" s="5" t="n">
        <v>4</v>
      </c>
      <c r="G488" s="5" t="inlineStr"/>
      <c r="H488" s="5" t="n"/>
      <c r="I488" s="5" t="n"/>
      <c r="J488" s="5" t="n"/>
      <c r="K488" s="5" t="inlineStr"/>
    </row>
    <row r="489">
      <c r="A489" s="5" t="inlineStr">
        <is>
          <t>A0A175VUX0</t>
        </is>
      </c>
      <c r="B489" s="5" t="inlineStr">
        <is>
          <t>Madurella mycetomatis</t>
        </is>
      </c>
      <c r="C489" s="5" t="inlineStr">
        <is>
          <t>Chalcone synthase G</t>
        </is>
      </c>
      <c r="D489" s="5" t="inlineStr">
        <is>
          <t>False</t>
        </is>
      </c>
      <c r="E489" s="5" t="inlineStr">
        <is>
          <t>CTCSLFFDLH--P</t>
        </is>
      </c>
      <c r="F489" s="5" t="n">
        <v>4</v>
      </c>
      <c r="G489" s="5" t="inlineStr"/>
      <c r="H489" s="5" t="n"/>
      <c r="I489" s="5" t="n"/>
      <c r="J489" s="5" t="n"/>
      <c r="K489" s="5" t="inlineStr"/>
    </row>
    <row r="490">
      <c r="A490" s="5" t="inlineStr">
        <is>
          <t>A0A1F7ZN65</t>
        </is>
      </c>
      <c r="B490" s="5" t="inlineStr">
        <is>
          <t>Aspergillus bombycis</t>
        </is>
      </c>
      <c r="C490" s="5" t="inlineStr">
        <is>
          <t>Thiolase-like protein</t>
        </is>
      </c>
      <c r="D490" s="5" t="inlineStr">
        <is>
          <t>False</t>
        </is>
      </c>
      <c r="E490" s="5" t="inlineStr">
        <is>
          <t>CTCPFFLNIDSIP</t>
        </is>
      </c>
      <c r="F490" s="5" t="n">
        <v>4</v>
      </c>
      <c r="G490" s="5" t="inlineStr"/>
      <c r="H490" s="5" t="n"/>
      <c r="I490" s="5" t="n"/>
      <c r="J490" s="5" t="n"/>
      <c r="K490" s="5" t="inlineStr"/>
    </row>
    <row r="491">
      <c r="A491" s="5" t="inlineStr">
        <is>
          <t>A0A395RMN0</t>
        </is>
      </c>
      <c r="B491" s="5" t="inlineStr">
        <is>
          <t>Fusarium sporotrichioides</t>
        </is>
      </c>
      <c r="C491" s="5" t="inlineStr">
        <is>
          <t>Chalcone synthase b</t>
        </is>
      </c>
      <c r="D491" s="5" t="inlineStr">
        <is>
          <t>False</t>
        </is>
      </c>
      <c r="E491" s="5" t="inlineStr">
        <is>
          <t>GTCTNFCLV-TAP</t>
        </is>
      </c>
      <c r="F491" s="5" t="n">
        <v>4</v>
      </c>
      <c r="G491" s="5" t="inlineStr"/>
      <c r="H491" s="5" t="n"/>
      <c r="I491" s="5" t="n"/>
      <c r="J491" s="5" t="n"/>
      <c r="K491" s="5" t="inlineStr"/>
    </row>
    <row r="492">
      <c r="A492" s="5" t="inlineStr">
        <is>
          <t>A0A5N6EYH2</t>
        </is>
      </c>
      <c r="B492" s="5" t="inlineStr">
        <is>
          <t>Aspergillus novoparasiticus</t>
        </is>
      </c>
      <c r="C492" s="5" t="inlineStr">
        <is>
          <t>Thiolase-like protein</t>
        </is>
      </c>
      <c r="D492" s="5" t="inlineStr">
        <is>
          <t>False</t>
        </is>
      </c>
      <c r="E492" s="5" t="inlineStr">
        <is>
          <t>STCPFFLSIDSIP</t>
        </is>
      </c>
      <c r="F492" s="5" t="n">
        <v>4</v>
      </c>
      <c r="G492" s="5" t="inlineStr"/>
      <c r="H492" s="5" t="n"/>
      <c r="I492" s="5" t="n"/>
      <c r="J492" s="5" t="n"/>
      <c r="K492" s="5" t="inlineStr"/>
    </row>
    <row r="493">
      <c r="A493" s="5" t="inlineStr">
        <is>
          <t>A0A5N6ZPA6</t>
        </is>
      </c>
      <c r="B493" s="5" t="inlineStr">
        <is>
          <t>Aspergillus caelatus</t>
        </is>
      </c>
      <c r="C493" s="5" t="inlineStr">
        <is>
          <t>Thiolase-like protein</t>
        </is>
      </c>
      <c r="D493" s="5" t="inlineStr">
        <is>
          <t>False</t>
        </is>
      </c>
      <c r="E493" s="5" t="inlineStr">
        <is>
          <t>CTCPFFLNIDSIP</t>
        </is>
      </c>
      <c r="F493" s="5" t="n">
        <v>4</v>
      </c>
      <c r="G493" s="5" t="inlineStr"/>
      <c r="H493" s="5" t="n"/>
      <c r="I493" s="5" t="n"/>
      <c r="J493" s="5" t="n"/>
      <c r="K493" s="5" t="inlineStr"/>
    </row>
    <row r="494">
      <c r="A494" s="5" t="inlineStr">
        <is>
          <t>A0A8H5U7I5</t>
        </is>
      </c>
      <c r="B494" s="5" t="inlineStr">
        <is>
          <t>Fusarium denticulatum</t>
        </is>
      </c>
      <c r="C494" s="5" t="inlineStr">
        <is>
          <t>Chalcone synthase B</t>
        </is>
      </c>
      <c r="D494" s="5" t="inlineStr">
        <is>
          <t>False</t>
        </is>
      </c>
      <c r="E494" s="5" t="inlineStr">
        <is>
          <t>GTCTNFCLV-TAP</t>
        </is>
      </c>
      <c r="F494" s="5" t="n">
        <v>4</v>
      </c>
      <c r="G494" s="5" t="inlineStr"/>
      <c r="H494" s="5" t="n"/>
      <c r="I494" s="5" t="n"/>
      <c r="J494" s="5" t="n"/>
      <c r="K494" s="5" t="inlineStr"/>
    </row>
    <row r="495">
      <c r="A495" s="5" t="inlineStr">
        <is>
          <t>A0A9P4UVY1</t>
        </is>
      </c>
      <c r="B495" s="5" t="inlineStr">
        <is>
          <t>Polyplosphaeria fusca</t>
        </is>
      </c>
      <c r="C495" s="5" t="inlineStr">
        <is>
          <t>Thiolase-like protein</t>
        </is>
      </c>
      <c r="D495" s="5" t="inlineStr">
        <is>
          <t>False</t>
        </is>
      </c>
      <c r="E495" s="5" t="inlineStr">
        <is>
          <t>CT---FYLLHNSL</t>
        </is>
      </c>
      <c r="F495" s="5" t="n">
        <v>4</v>
      </c>
      <c r="G495" s="5" t="inlineStr"/>
      <c r="H495" s="5" t="n"/>
      <c r="I495" s="5" t="n"/>
      <c r="J495" s="5" t="n"/>
      <c r="K495" s="5" t="inlineStr"/>
    </row>
    <row r="496">
      <c r="A496" s="5" t="inlineStr">
        <is>
          <t>A0A9P7Z8I8</t>
        </is>
      </c>
      <c r="B496" s="5" t="inlineStr">
        <is>
          <t>Calycina marina</t>
        </is>
      </c>
      <c r="C496" s="5" t="inlineStr">
        <is>
          <t>Chalcone synthase B</t>
        </is>
      </c>
      <c r="D496" s="5" t="inlineStr">
        <is>
          <t>False</t>
        </is>
      </c>
      <c r="E496" s="5" t="inlineStr">
        <is>
          <t>CTC--FFLLH--P</t>
        </is>
      </c>
      <c r="F496" s="5" t="n">
        <v>4</v>
      </c>
      <c r="G496" s="5" t="inlineStr"/>
      <c r="H496" s="5" t="n"/>
      <c r="I496" s="5" t="n"/>
      <c r="J496" s="5" t="n"/>
      <c r="K496" s="5" t="inlineStr"/>
    </row>
    <row r="497">
      <c r="A497" s="5" t="inlineStr">
        <is>
          <t>A0A5N7BAZ4</t>
        </is>
      </c>
      <c r="B497" s="5" t="inlineStr">
        <is>
          <t>Aspergillus bertholletiae</t>
        </is>
      </c>
      <c r="C497" s="5" t="inlineStr">
        <is>
          <t>Thiolase-like protein</t>
        </is>
      </c>
      <c r="D497" s="5" t="inlineStr">
        <is>
          <t>False</t>
        </is>
      </c>
      <c r="E497" s="5" t="inlineStr">
        <is>
          <t>CTCPFFLSLDSVP</t>
        </is>
      </c>
      <c r="F497" s="5" t="n">
        <v>3</v>
      </c>
      <c r="G497" s="5" t="inlineStr"/>
      <c r="H497" s="5" t="n"/>
      <c r="I497" s="5" t="n"/>
      <c r="J497" s="5" t="n"/>
      <c r="K497" s="5" t="inlineStr"/>
    </row>
    <row r="498">
      <c r="A498" s="5" t="inlineStr">
        <is>
          <t>A0ABQ6L6I0</t>
        </is>
      </c>
      <c r="B498" s="5" t="inlineStr">
        <is>
          <t>Aspergillus oryzae var. brunneus</t>
        </is>
      </c>
      <c r="C498" s="5" t="inlineStr">
        <is>
          <t>Unnamed protein product</t>
        </is>
      </c>
      <c r="D498" s="5" t="inlineStr">
        <is>
          <t>False</t>
        </is>
      </c>
      <c r="E498" s="5" t="inlineStr">
        <is>
          <t>STCPFFLSMDSIP</t>
        </is>
      </c>
      <c r="F498" s="5" t="n">
        <v>3</v>
      </c>
      <c r="G498" s="5" t="inlineStr"/>
      <c r="H498" s="5" t="n"/>
      <c r="I498" s="5" t="n"/>
      <c r="J498" s="5" t="n"/>
      <c r="K498" s="5" t="inlineStr"/>
    </row>
    <row r="499">
      <c r="A499" s="5" t="inlineStr">
        <is>
          <t>A0ABQ6LE57</t>
        </is>
      </c>
      <c r="B499" s="5" t="inlineStr">
        <is>
          <t>Aspergillus oryzae var. brunneus</t>
        </is>
      </c>
      <c r="C499" s="5" t="inlineStr">
        <is>
          <t>Unnamed protein product</t>
        </is>
      </c>
      <c r="D499" s="5" t="inlineStr">
        <is>
          <t>False</t>
        </is>
      </c>
      <c r="E499" s="5" t="inlineStr">
        <is>
          <t>CTCCFFFNI----</t>
        </is>
      </c>
      <c r="F499" s="5" t="n">
        <v>3</v>
      </c>
      <c r="G499" s="5" t="inlineStr"/>
      <c r="H499" s="5" t="n"/>
      <c r="I499" s="5" t="n"/>
      <c r="J499" s="5" t="n"/>
      <c r="K499" s="5" t="inlineStr"/>
    </row>
    <row r="500">
      <c r="A500" s="5" t="inlineStr">
        <is>
          <t>A0ABR3VLV2</t>
        </is>
      </c>
      <c r="B500" s="5" t="inlineStr">
        <is>
          <t>Humicola insolens</t>
        </is>
      </c>
      <c r="C500" s="5" t="inlineStr">
        <is>
          <t>Chalcone/stilbene synthase N-terminal domain-containing protein</t>
        </is>
      </c>
      <c r="D500" s="5" t="inlineStr">
        <is>
          <t>False</t>
        </is>
      </c>
      <c r="E500" s="5" t="inlineStr">
        <is>
          <t>CTCSFFFDLH---</t>
        </is>
      </c>
      <c r="F500" s="5" t="n">
        <v>3</v>
      </c>
      <c r="G500" s="5" t="inlineStr"/>
      <c r="H500" s="5" t="n"/>
      <c r="I500" s="5" t="n"/>
      <c r="J500" s="5" t="n"/>
      <c r="K500" s="5" t="inlineStr"/>
    </row>
    <row r="501">
      <c r="A501" s="5" t="inlineStr">
        <is>
          <t>Q2GSX0</t>
        </is>
      </c>
      <c r="B501" s="5" t="inlineStr">
        <is>
          <t>Chaetomium globosum (strain ATCC 6205 / CBS 148.51 / DSM 1962 / NBRC 6347 / NRRL 1970)</t>
        </is>
      </c>
      <c r="C501" s="5" t="inlineStr">
        <is>
          <t>Chalcone/stilbene synthase N-terminal domain-containing protein</t>
        </is>
      </c>
      <c r="D501" s="5" t="inlineStr">
        <is>
          <t>False</t>
        </is>
      </c>
      <c r="E501" s="5" t="inlineStr">
        <is>
          <t>CTCSL------SP</t>
        </is>
      </c>
      <c r="F501" s="5" t="n">
        <v>3</v>
      </c>
      <c r="G501" s="5" t="inlineStr"/>
      <c r="H501" s="5" t="n"/>
      <c r="I501" s="5" t="n"/>
      <c r="J501" s="5" t="n"/>
      <c r="K501" s="5" t="inlineStr"/>
    </row>
    <row r="502">
      <c r="A502" s="5" t="inlineStr">
        <is>
          <t>Q53U81</t>
        </is>
      </c>
      <c r="B502" s="5" t="inlineStr">
        <is>
          <t>Aspergillus oryzae</t>
        </is>
      </c>
      <c r="C502" s="5" t="inlineStr">
        <is>
          <t>Uncharacterized protein csyD</t>
        </is>
      </c>
      <c r="D502" s="5" t="inlineStr">
        <is>
          <t>False</t>
        </is>
      </c>
      <c r="E502" s="5" t="inlineStr">
        <is>
          <t>STC--FLSMDSIP</t>
        </is>
      </c>
      <c r="F502" s="5" t="n">
        <v>3</v>
      </c>
      <c r="G502" s="5" t="inlineStr"/>
      <c r="H502" s="5" t="n"/>
      <c r="I502" s="5" t="n"/>
      <c r="J502" s="5" t="n"/>
      <c r="K502" s="5" t="inlineStr"/>
    </row>
    <row r="503">
      <c r="A503" s="5" t="inlineStr">
        <is>
          <t>A0A084B516</t>
        </is>
      </c>
      <c r="B503" s="5" t="inlineStr">
        <is>
          <t>Stachybotrys chartarum (strain CBS 109288 / IBT 7711)</t>
        </is>
      </c>
      <c r="C503" s="5" t="inlineStr">
        <is>
          <t>Chalcone/stilbene synthase N-terminal domain-containing protein</t>
        </is>
      </c>
      <c r="D503" s="5" t="inlineStr">
        <is>
          <t>False</t>
        </is>
      </c>
      <c r="E503" s="5" t="inlineStr">
        <is>
          <t>CTCVLFFD-----</t>
        </is>
      </c>
      <c r="F503" s="5" t="n">
        <v>2</v>
      </c>
      <c r="G503" s="5" t="inlineStr"/>
      <c r="H503" s="5" t="n"/>
      <c r="I503" s="5" t="n"/>
      <c r="J503" s="5" t="n"/>
      <c r="K503" s="5" t="inlineStr"/>
    </row>
    <row r="504">
      <c r="A504" s="5" t="inlineStr">
        <is>
          <t>A0A2G7ELQ8</t>
        </is>
      </c>
      <c r="B504" s="5" t="inlineStr">
        <is>
          <t>Aspergillus arachidicola</t>
        </is>
      </c>
      <c r="C504" s="5" t="inlineStr">
        <is>
          <t>Chalcone/stilbene synthase N-terminal domain-containing protein</t>
        </is>
      </c>
      <c r="D504" s="5" t="inlineStr">
        <is>
          <t>False</t>
        </is>
      </c>
      <c r="E504" s="5" t="inlineStr">
        <is>
          <t>STCPFFLSC----</t>
        </is>
      </c>
      <c r="F504" s="5" t="n">
        <v>2</v>
      </c>
      <c r="G504" s="5" t="inlineStr"/>
      <c r="H504" s="5" t="n"/>
      <c r="I504" s="5" t="n"/>
      <c r="J504" s="5" t="n"/>
      <c r="K504" s="5" t="inlineStr"/>
    </row>
    <row r="505">
      <c r="A505" s="5" t="inlineStr">
        <is>
          <t>A0A437A2Z4</t>
        </is>
      </c>
      <c r="B505" s="5" t="inlineStr">
        <is>
          <t>Arthrobotrys flagrans</t>
        </is>
      </c>
      <c r="C505" s="5" t="inlineStr">
        <is>
          <t>Chalcone/stilbene synthase N-terminal domain-containing protein</t>
        </is>
      </c>
      <c r="D505" s="5" t="inlineStr">
        <is>
          <t>False</t>
        </is>
      </c>
      <c r="E505" s="5" t="inlineStr">
        <is>
          <t>CTCCLFFDL----</t>
        </is>
      </c>
      <c r="F505" s="5" t="n">
        <v>2</v>
      </c>
      <c r="G505" s="5" t="inlineStr"/>
      <c r="H505" s="5" t="n"/>
      <c r="I505" s="5" t="n"/>
      <c r="J505" s="5" t="n"/>
      <c r="K505" s="5" t="inlineStr"/>
    </row>
    <row r="506">
      <c r="A506" s="5" t="inlineStr">
        <is>
          <t>A0AAD6CT85</t>
        </is>
      </c>
      <c r="B506" s="5" t="inlineStr">
        <is>
          <t>Penicillium frequentans</t>
        </is>
      </c>
      <c r="C506" s="5" t="inlineStr">
        <is>
          <t>Chalcone/stilbene synthase N-terminal domain-containing protein</t>
        </is>
      </c>
      <c r="D506" s="5" t="inlineStr">
        <is>
          <t>False</t>
        </is>
      </c>
      <c r="E506" s="5" t="inlineStr">
        <is>
          <t>ATCCHFYKL----</t>
        </is>
      </c>
      <c r="F506" s="5" t="n">
        <v>2</v>
      </c>
      <c r="G506" s="5" t="inlineStr"/>
      <c r="H506" s="5" t="n"/>
      <c r="I506" s="5" t="n"/>
      <c r="J506" s="5" t="n"/>
      <c r="K506" s="5" t="inlineStr"/>
    </row>
    <row r="507">
      <c r="A507" s="5" t="inlineStr">
        <is>
          <t>A0AAI9X284</t>
        </is>
      </c>
      <c r="B507" s="5" t="inlineStr">
        <is>
          <t>Penicillium thymicola</t>
        </is>
      </c>
      <c r="C507" s="5" t="inlineStr">
        <is>
          <t>Chalcone/stilbene synthase N-terminal domain-containing protein</t>
        </is>
      </c>
      <c r="D507" s="5" t="inlineStr">
        <is>
          <t>False</t>
        </is>
      </c>
      <c r="E507" s="5" t="inlineStr">
        <is>
          <t>CTCCNFFY-Y---</t>
        </is>
      </c>
      <c r="F507" s="5" t="n">
        <v>2</v>
      </c>
      <c r="G507" s="5" t="inlineStr"/>
      <c r="H507" s="5" t="n"/>
      <c r="I507" s="5" t="n"/>
      <c r="J507" s="5" t="n"/>
      <c r="K507" s="5" t="inlineStr"/>
    </row>
    <row r="508">
      <c r="A508" s="5" t="inlineStr">
        <is>
          <t>A0A084QT50</t>
        </is>
      </c>
      <c r="B508" s="5" t="inlineStr">
        <is>
          <t>Stachybotrys chlorohalonatus (strain IBT 40285)</t>
        </is>
      </c>
      <c r="C508" s="5" t="inlineStr">
        <is>
          <t>Chalcone/stilbene synthase N-terminal domain-containing protein</t>
        </is>
      </c>
      <c r="D508" s="5" t="inlineStr">
        <is>
          <t>False</t>
        </is>
      </c>
      <c r="E508" s="5" t="inlineStr">
        <is>
          <t>CTC----------</t>
        </is>
      </c>
      <c r="F508" s="5" t="n">
        <v>1</v>
      </c>
      <c r="G508" s="5" t="inlineStr"/>
      <c r="H508" s="5" t="n"/>
      <c r="I508" s="5" t="n"/>
      <c r="J508" s="5" t="n"/>
      <c r="K508" s="5" t="inlineStr"/>
    </row>
  </sheetData>
  <autoFilter ref="A1:K5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4" customWidth="1" min="4" max="4"/>
    <col width="16" customWidth="1" min="5" max="5"/>
    <col width="70" customWidth="1" min="6" max="6"/>
  </cols>
  <sheetData>
    <row r="1">
      <c r="A1" s="6" t="inlineStr">
        <is>
          <t>candidate_accession</t>
        </is>
      </c>
      <c r="B1" s="6" t="inlineStr">
        <is>
          <t>matched_characterized_gene</t>
        </is>
      </c>
      <c r="C1" s="6" t="inlineStr">
        <is>
          <t>match_containment</t>
        </is>
      </c>
      <c r="D1" s="6" t="inlineStr">
        <is>
          <t>coumaroyl_CoA_active_real_data</t>
        </is>
      </c>
      <c r="E1" s="6" t="inlineStr">
        <is>
          <t>n_substrates_active_of_11</t>
        </is>
      </c>
      <c r="F1" s="6" t="inlineStr">
        <is>
          <t>active_substrates_real_data</t>
        </is>
      </c>
    </row>
    <row r="2">
      <c r="A2" s="4" t="inlineStr">
        <is>
          <t>W3WYM6</t>
        </is>
      </c>
      <c r="B2" s="4" t="inlineStr">
        <is>
          <t>PficPKS</t>
        </is>
      </c>
      <c r="C2" s="4" t="n">
        <v>1</v>
      </c>
      <c r="D2" s="4" t="n">
        <v>0</v>
      </c>
      <c r="E2" s="4" t="n">
        <v>6</v>
      </c>
      <c r="F2" s="4" t="inlineStr">
        <is>
          <t>N-CH3-anthraniloyl-coa,decanoyl-coa,hexanoyl-coa,methylcrotonyl-coa,myristoyl-coa,oleoyl-coa</t>
        </is>
      </c>
    </row>
    <row r="3">
      <c r="A3" s="4" t="inlineStr">
        <is>
          <t>A0ACB7NUY9</t>
        </is>
      </c>
      <c r="B3" s="4" t="inlineStr">
        <is>
          <t>CgloPKS</t>
        </is>
      </c>
      <c r="C3" s="4" t="n">
        <v>1</v>
      </c>
      <c r="D3" s="4" t="n">
        <v>0</v>
      </c>
      <c r="E3" s="4" t="n">
        <v>7</v>
      </c>
      <c r="F3" s="4" t="inlineStr">
        <is>
          <t>N-CH3-anthraniloyl-coa,acetyl-coa,benzoyl-coa,decanoyl-coa,hexanoyl-coa,methylcrotonyl-coa,myristoyl-coa</t>
        </is>
      </c>
    </row>
    <row r="4">
      <c r="A4" s="4" t="inlineStr">
        <is>
          <t>A0A162JF80</t>
        </is>
      </c>
      <c r="B4" s="4" t="inlineStr">
        <is>
          <t>SinsPKS</t>
        </is>
      </c>
      <c r="C4" s="4" t="n">
        <v>1</v>
      </c>
      <c r="D4" s="4" t="n">
        <v>0</v>
      </c>
      <c r="E4" s="4" t="n">
        <v>2</v>
      </c>
      <c r="F4" s="4" t="inlineStr">
        <is>
          <t>decanoyl-coa,myristoyl-coa</t>
        </is>
      </c>
    </row>
    <row r="5">
      <c r="A5" s="4" t="inlineStr">
        <is>
          <t>A0A2W1FIY5</t>
        </is>
      </c>
      <c r="B5" s="4" t="inlineStr">
        <is>
          <t>PtriPKS</t>
        </is>
      </c>
      <c r="C5" s="4" t="n">
        <v>1</v>
      </c>
      <c r="D5" s="4" t="n">
        <v>0</v>
      </c>
      <c r="E5" s="4" t="n">
        <v>1</v>
      </c>
      <c r="F5" s="4" t="inlineStr">
        <is>
          <t>oleoyl-coa</t>
        </is>
      </c>
    </row>
    <row r="6">
      <c r="A6" s="4" t="inlineStr">
        <is>
          <t>A0A194VDY8</t>
        </is>
      </c>
      <c r="B6" s="4" t="inlineStr">
        <is>
          <t>VmalPKS</t>
        </is>
      </c>
      <c r="C6" s="4" t="n">
        <v>1</v>
      </c>
      <c r="D6" s="4" t="n">
        <v>0</v>
      </c>
      <c r="E6" s="4" t="n">
        <v>4</v>
      </c>
      <c r="F6" s="4" t="inlineStr">
        <is>
          <t>decanoyl-coa,hexanoyl-coa,myristoyl-coa,oleoyl-coa</t>
        </is>
      </c>
    </row>
    <row r="7">
      <c r="A7" s="4" t="inlineStr">
        <is>
          <t>A0A2P5I7D7</t>
        </is>
      </c>
      <c r="B7" s="4" t="inlineStr">
        <is>
          <t>DhelPKS</t>
        </is>
      </c>
      <c r="C7" s="4" t="n">
        <v>1</v>
      </c>
      <c r="D7" s="4" t="n">
        <v>0</v>
      </c>
      <c r="E7" s="4" t="n">
        <v>5</v>
      </c>
      <c r="F7" s="4" t="inlineStr">
        <is>
          <t>N-CH3-anthraniloyl-coa,decanoyl-coa,hexanoyl-coa,myristoyl-coa,oleoyl-coa</t>
        </is>
      </c>
    </row>
    <row r="8">
      <c r="A8" s="4" t="inlineStr">
        <is>
          <t>A0ACD1IH72</t>
        </is>
      </c>
      <c r="B8" s="4" t="inlineStr">
        <is>
          <t>AcosPKS</t>
        </is>
      </c>
      <c r="C8" s="4" t="n">
        <v>1</v>
      </c>
      <c r="D8" s="4" t="n">
        <v>0</v>
      </c>
      <c r="E8" s="4" t="n">
        <v>10</v>
      </c>
      <c r="F8" s="4" t="inlineStr">
        <is>
          <t>N-CH3-anthraniloyl-coa,acetyl-coa,benzoyl-coa,decanoyl-coa,hexanoyl-coa,methylcrotonyl-coa,myristoyl-coa,oleoyl-coa,phenylacetyl-coa,phytanoyl-coa</t>
        </is>
      </c>
    </row>
    <row r="9">
      <c r="A9" s="4" t="inlineStr">
        <is>
          <t>A0A5N6V0I9</t>
        </is>
      </c>
      <c r="B9" s="4" t="inlineStr">
        <is>
          <t>AtamPKS2</t>
        </is>
      </c>
      <c r="C9" s="4" t="n">
        <v>1</v>
      </c>
      <c r="D9" s="4" t="n">
        <v>0</v>
      </c>
      <c r="E9" s="4" t="n">
        <v>0</v>
      </c>
      <c r="F9" s="4" t="inlineStr"/>
    </row>
    <row r="10">
      <c r="A10" s="4" t="inlineStr">
        <is>
          <t>A0ABQ8NUE1</t>
        </is>
      </c>
      <c r="B10" s="4" t="inlineStr">
        <is>
          <t>MoryPKS</t>
        </is>
      </c>
      <c r="C10" s="4" t="n">
        <v>1</v>
      </c>
      <c r="D10" s="4" t="n">
        <v>0</v>
      </c>
      <c r="E10" s="4" t="n">
        <v>5</v>
      </c>
      <c r="F10" s="4" t="inlineStr">
        <is>
          <t>N-CH3-anthraniloyl-coa,decanoyl-coa,hexanoyl-coa,myristoyl-coa,oleoyl-coa</t>
        </is>
      </c>
    </row>
    <row r="11">
      <c r="A11" s="4" t="inlineStr">
        <is>
          <t>A0A2G7GAE9</t>
        </is>
      </c>
      <c r="B11" s="4" t="inlineStr">
        <is>
          <t>AserPKS2</t>
        </is>
      </c>
      <c r="C11" s="4" t="n">
        <v>0.858</v>
      </c>
      <c r="D11" s="4" t="n">
        <v>0</v>
      </c>
      <c r="E11" s="4" t="n">
        <v>7</v>
      </c>
      <c r="F11" s="4" t="inlineStr">
        <is>
          <t>benzoyl-coa,decanoyl-coa,hexanoyl-coa,methylcrotonyl-coa,myristoyl-coa,oleoyl-coa,phytanoyl-coa</t>
        </is>
      </c>
    </row>
    <row r="12">
      <c r="A12" s="4" t="inlineStr">
        <is>
          <t>A0A059J6Q8</t>
        </is>
      </c>
      <c r="B12" s="4" t="inlineStr">
        <is>
          <t>TtonPKS</t>
        </is>
      </c>
      <c r="C12" s="4" t="n">
        <v>0.824</v>
      </c>
      <c r="D12" s="4" t="n">
        <v>0</v>
      </c>
      <c r="E12" s="4" t="n">
        <v>6</v>
      </c>
      <c r="F12" s="4" t="inlineStr">
        <is>
          <t>benzoyl-coa,decanoyl-coa,hexanoyl-coa,methylcrotonyl-coa,myristoyl-coa,phytanoyl-coa</t>
        </is>
      </c>
    </row>
    <row r="13">
      <c r="A13" s="4" t="inlineStr">
        <is>
          <t>A0A553HLF1</t>
        </is>
      </c>
      <c r="B13" s="4" t="inlineStr">
        <is>
          <t>XacuPKS1</t>
        </is>
      </c>
      <c r="C13" s="4" t="n">
        <v>0.791</v>
      </c>
      <c r="D13" s="4" t="n">
        <v>1</v>
      </c>
      <c r="E13" s="4" t="n">
        <v>6</v>
      </c>
      <c r="F13" s="4" t="inlineStr">
        <is>
          <t>coumaroyl-coa,decanoyl-coa,hexanoyl-coa,myristoyl-coa,phenylacetyl-coa,phytanoyl-coa</t>
        </is>
      </c>
    </row>
    <row r="14">
      <c r="A14" s="4" t="inlineStr">
        <is>
          <t>P0DUK2</t>
        </is>
      </c>
      <c r="B14" s="4" t="inlineStr">
        <is>
          <t>AlupPKS2</t>
        </is>
      </c>
      <c r="C14" s="4" t="n">
        <v>0.767</v>
      </c>
      <c r="D14" s="4" t="n">
        <v>0</v>
      </c>
      <c r="E14" s="4" t="n">
        <v>0</v>
      </c>
      <c r="F14" s="4" t="inlineStr"/>
    </row>
    <row r="15">
      <c r="A15" s="4" t="inlineStr">
        <is>
          <t>A0A8H7TDR2</t>
        </is>
      </c>
      <c r="B15" s="4" t="inlineStr">
        <is>
          <t>CadPKS</t>
        </is>
      </c>
      <c r="C15" s="4" t="n">
        <v>0.744</v>
      </c>
      <c r="D15" s="4" t="n">
        <v>0</v>
      </c>
      <c r="E15" s="4" t="n">
        <v>0</v>
      </c>
      <c r="F15" s="4" t="inlineStr"/>
    </row>
    <row r="16">
      <c r="A16" s="4" t="inlineStr">
        <is>
          <t>A0A0D2BWQ8</t>
        </is>
      </c>
      <c r="B16" s="4" t="inlineStr">
        <is>
          <t>FerePKS</t>
        </is>
      </c>
      <c r="C16" s="4" t="n">
        <v>0.7</v>
      </c>
      <c r="D16" s="4" t="n">
        <v>0</v>
      </c>
      <c r="E16" s="4" t="n">
        <v>8</v>
      </c>
      <c r="F16" s="4" t="inlineStr">
        <is>
          <t>N-CH3-anthraniloyl-coa,acetyl-coa,benzoyl-coa,decanoyl-coa,hexanoyl-coa,methylcrotonyl-coa,myristoyl-coa,phenylacetyl-coa</t>
        </is>
      </c>
    </row>
    <row r="17">
      <c r="A17" s="4" t="inlineStr">
        <is>
          <t>A0ABR4GLN7</t>
        </is>
      </c>
      <c r="B17" s="4" t="inlineStr">
        <is>
          <t>AthePKS</t>
        </is>
      </c>
      <c r="C17" s="4" t="n">
        <v>0.6929999999999999</v>
      </c>
      <c r="D17" s="4" t="n">
        <v>0</v>
      </c>
      <c r="E17" s="4" t="n">
        <v>6</v>
      </c>
      <c r="F17" s="4" t="inlineStr">
        <is>
          <t>N-CH3-anthraniloyl-coa,benzoyl-coa,decanoyl-coa,hexanoyl-coa,methylcrotonyl-coa,myristoyl-coa</t>
        </is>
      </c>
    </row>
    <row r="18">
      <c r="A18" s="4" t="inlineStr">
        <is>
          <t>A0A317USQ3</t>
        </is>
      </c>
      <c r="B18" s="4" t="inlineStr">
        <is>
          <t>AastPKS</t>
        </is>
      </c>
      <c r="C18" s="4" t="n">
        <v>0.6830000000000001</v>
      </c>
      <c r="D18" s="4" t="n">
        <v>0</v>
      </c>
      <c r="E18" s="4" t="n">
        <v>6</v>
      </c>
      <c r="F18" s="4" t="inlineStr">
        <is>
          <t>benzoyl-coa,decanoyl-coa,hexanoyl-coa,myristoyl-coa,oleoyl-coa,phytanoyl-coa</t>
        </is>
      </c>
    </row>
    <row r="19">
      <c r="A19" s="4" t="inlineStr">
        <is>
          <t>A0A9P5E2B7</t>
        </is>
      </c>
      <c r="B19" s="4" t="inlineStr">
        <is>
          <t>FmanPKS</t>
        </is>
      </c>
      <c r="C19" s="4" t="n">
        <v>0.658</v>
      </c>
      <c r="D19" s="4" t="n">
        <v>0</v>
      </c>
      <c r="E19" s="4" t="n">
        <v>0</v>
      </c>
      <c r="F19" s="4" t="inlineStr"/>
    </row>
    <row r="20">
      <c r="A20" s="4" t="inlineStr">
        <is>
          <t>A0ABR1PIT7</t>
        </is>
      </c>
      <c r="B20" s="4" t="inlineStr">
        <is>
          <t>DliqPKS</t>
        </is>
      </c>
      <c r="C20" s="4" t="n">
        <v>0.655</v>
      </c>
      <c r="D20" s="4" t="n">
        <v>0</v>
      </c>
      <c r="E20" s="4" t="n">
        <v>4</v>
      </c>
      <c r="F20" s="4" t="inlineStr">
        <is>
          <t>decanoyl-coa,hexanoyl-coa,myristoyl-coa,oleoyl-coa</t>
        </is>
      </c>
    </row>
    <row r="21">
      <c r="A21" s="4" t="inlineStr">
        <is>
          <t>A0A553I235</t>
        </is>
      </c>
      <c r="B21" s="4" t="inlineStr">
        <is>
          <t>XacuPKS2</t>
        </is>
      </c>
      <c r="C21" s="4" t="n">
        <v>0.5669999999999999</v>
      </c>
      <c r="D21" s="4" t="n">
        <v>0</v>
      </c>
      <c r="E21" s="4" t="n">
        <v>5</v>
      </c>
      <c r="F21" s="4" t="inlineStr">
        <is>
          <t>N-CH3-anthraniloyl-coa,decanoyl-coa,hexanoyl-coa,myristoyl-coa,oleoyl-coa</t>
        </is>
      </c>
    </row>
    <row r="22">
      <c r="A22" s="4" t="inlineStr">
        <is>
          <t>A0A2I2GDC6</t>
        </is>
      </c>
      <c r="B22" s="4" t="inlineStr">
        <is>
          <t>AsesPKS</t>
        </is>
      </c>
      <c r="C22" s="4" t="n">
        <v>0.508</v>
      </c>
      <c r="D22" s="4" t="n">
        <v>0</v>
      </c>
      <c r="E22" s="4" t="n">
        <v>3</v>
      </c>
      <c r="F22" s="4" t="inlineStr">
        <is>
          <t>decanoyl-coa,hexanoyl-coa,myristoyl-coa</t>
        </is>
      </c>
    </row>
    <row r="23">
      <c r="A23" s="4" t="inlineStr">
        <is>
          <t>A0A7C8IWR1</t>
        </is>
      </c>
      <c r="B23" s="4" t="inlineStr">
        <is>
          <t>HargPKS2</t>
        </is>
      </c>
      <c r="C23" s="4" t="n">
        <v>0.392</v>
      </c>
      <c r="D23" s="4" t="n">
        <v>0</v>
      </c>
      <c r="E23" s="4" t="n">
        <v>5</v>
      </c>
      <c r="F23" s="4" t="inlineStr">
        <is>
          <t>N-CH3-anthraniloyl-coa,decanoyl-coa,hexanoyl-coa,myristoyl-coa,oleoyl-coa</t>
        </is>
      </c>
    </row>
    <row r="24">
      <c r="A24" s="4" t="inlineStr">
        <is>
          <t>A0A2J6TDB9</t>
        </is>
      </c>
      <c r="B24" s="4" t="inlineStr">
        <is>
          <t>XylPKS</t>
        </is>
      </c>
      <c r="C24" s="4" t="n">
        <v>0.311</v>
      </c>
      <c r="D24" s="4" t="n">
        <v>0</v>
      </c>
      <c r="E24" s="4" t="n">
        <v>2</v>
      </c>
      <c r="F24" s="4" t="inlineStr">
        <is>
          <t>oleoyl-coa,phenylacetyl-coa</t>
        </is>
      </c>
    </row>
    <row r="25">
      <c r="A25" s="4" t="inlineStr">
        <is>
          <t>A0ACB9YP28</t>
        </is>
      </c>
      <c r="B25" s="4" t="inlineStr">
        <is>
          <t>BiscPKS</t>
        </is>
      </c>
      <c r="C25" s="4" t="n">
        <v>0.303</v>
      </c>
      <c r="D25" s="4" t="n">
        <v>0</v>
      </c>
      <c r="E25" s="4" t="n">
        <v>0</v>
      </c>
      <c r="F25" s="4" t="inlineStr"/>
    </row>
    <row r="26">
      <c r="A26" s="4" t="inlineStr">
        <is>
          <t>P0DUK2</t>
        </is>
      </c>
      <c r="B26" s="4" t="inlineStr">
        <is>
          <t>AiizPKS</t>
        </is>
      </c>
      <c r="C26" s="4" t="n">
        <v>0.289</v>
      </c>
      <c r="D26" s="4" t="n">
        <v>1</v>
      </c>
      <c r="E26" s="4" t="n">
        <v>9</v>
      </c>
      <c r="F26" s="4" t="inlineStr">
        <is>
          <t>N-CH3-anthraniloyl-coa,acetyl-coa,benzoyl-coa,coumaroyl-coa,decanoyl-coa,hexanoyl-coa,methylcrotonyl-coa,myristoyl-coa,phenylacetyl-coa</t>
        </is>
      </c>
    </row>
    <row r="27">
      <c r="A27" s="4" t="inlineStr">
        <is>
          <t>P0DUK2</t>
        </is>
      </c>
      <c r="B27" s="4" t="inlineStr">
        <is>
          <t>AlupPKS1</t>
        </is>
      </c>
      <c r="C27" s="4" t="n">
        <v>0.251</v>
      </c>
      <c r="D27" s="4" t="n">
        <v>1</v>
      </c>
      <c r="E27" s="4" t="n">
        <v>7</v>
      </c>
      <c r="F27" s="4" t="inlineStr">
        <is>
          <t>benzoyl-coa,coumaroyl-coa,decanoyl-coa,hexanoyl-coa,methylcrotonyl-coa,myristoyl-coa,phenylacetyl-coa</t>
        </is>
      </c>
    </row>
    <row r="28">
      <c r="A28" s="4" t="inlineStr">
        <is>
          <t>A0ABR1NRM7</t>
        </is>
      </c>
      <c r="B28" s="4" t="inlineStr">
        <is>
          <t>PhCHS</t>
        </is>
      </c>
      <c r="C28" s="4" t="n">
        <v>0.006</v>
      </c>
      <c r="D28" s="4" t="n">
        <v>1</v>
      </c>
      <c r="E28" s="4" t="n">
        <v>8</v>
      </c>
      <c r="F28" s="4" t="inlineStr">
        <is>
          <t>acetyl-coa,benzoyl-coa,coumaroyl-coa,decanoyl-coa,hexanoyl-coa,methylcrotonyl-coa,myristoyl-coa,phenylacetyl-coa</t>
        </is>
      </c>
    </row>
  </sheetData>
  <autoFilter ref="A1:F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</cols>
  <sheetData>
    <row r="1">
      <c r="A1" s="6" t="inlineStr">
        <is>
          <t>항목</t>
        </is>
      </c>
      <c r="B1" s="6" t="inlineStr">
        <is>
          <t>값</t>
        </is>
      </c>
    </row>
    <row r="2">
      <c r="A2" s="4" t="inlineStr">
        <is>
          <t>전체 후보 (Phase 1 QC 완료)</t>
        </is>
      </c>
      <c r="B2" s="4" t="n">
        <v>507</v>
      </c>
    </row>
    <row r="3">
      <c r="A3" s="4" t="inlineStr">
        <is>
          <t>촉매 삼합체 보존</t>
        </is>
      </c>
      <c r="B3" s="4">
        <f>COUNTIF(Final_Priority_507!D2:D508,"True")</f>
        <v/>
      </c>
    </row>
    <row r="4">
      <c r="A4" s="4" t="inlineStr">
        <is>
          <t>논문 실제 웻랩 데이터와 매칭됨 (containment&gt;=0.7)</t>
        </is>
      </c>
      <c r="B4" s="4">
        <f>COUNTIFS(Final_Priority_507!H2:H508,"&gt;=0.7")</f>
        <v/>
      </c>
    </row>
    <row r="5">
      <c r="A5" s="4" t="inlineStr">
        <is>
          <t>→ 그 중 실제 coumaroyl-CoA 활성 확인됨 (최우선)</t>
        </is>
      </c>
      <c r="B5" s="4">
        <f>COUNTIFS(Final_Priority_507!H2:H508,"&gt;=0.7",Final_Priority_507!I2:I508,1)</f>
        <v/>
      </c>
    </row>
    <row r="6">
      <c r="A6" s="4" t="inlineStr">
        <is>
          <t>HvCHS2(13잔기 중) 유사도 8/13 이상</t>
        </is>
      </c>
      <c r="B6" s="4">
        <f>COUNTIFS(Final_Priority_507!F2:F508,"&gt;=8")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6" t="inlineStr">
        <is>
          <t>항목</t>
        </is>
      </c>
      <c r="B1" s="6" t="inlineStr">
        <is>
          <t>내용</t>
        </is>
      </c>
    </row>
    <row r="2">
      <c r="A2" s="7" t="inlineStr">
        <is>
          <t>데이터 출처</t>
        </is>
      </c>
      <c r="B2" s="8" t="inlineStr">
        <is>
          <t>Sokolova et al. 2025 저자 공식 코드/데이터 저장소 github.com/thackl/type_III_PKS (원본: denisovss/type_III_PKS) — 37개 진균 T3PKS의 실제 cell-free 발현 + 12개 기질 활성 프로파일링 원본 데이터</t>
        </is>
      </c>
    </row>
    <row r="3">
      <c r="A3" s="7" t="inlineStr">
        <is>
          <t>교차대조 방법</t>
        </is>
      </c>
      <c r="B3" s="8" t="inlineStr">
        <is>
          <t>저자들이 실제 테스트한 31개 서열(유효 accession 보유)을 8-mer 기반 k-mer containment로 우리 507개 후보와 비교. containment&gt;=0.7을 '동일 단백질 또는 매우 가까운 오솔로그'로 판단.</t>
        </is>
      </c>
    </row>
    <row r="4">
      <c r="A4" s="7" t="inlineStr">
        <is>
          <t>핵심 발견</t>
        </is>
      </c>
      <c r="B4" s="8" t="inlineStr">
        <is>
          <t>A0A553HLF1이 XacuPKS1과 0.791 containment로 매칭됨. XacuPKS1은 실제 웻랩에서 coumaroyl-CoA(고전적 CHS 기질)에 활성 확인 + 11개 기질 중 6개에 활성(promiscuous). caffeoyl-CoA는 이 연구에서 테스트되지 않았지만, coumaroyl-CoA 활성 + 높은 promiscuity는 hydroxyl기 하나 차이인 caffeoyl-CoA에도 활성을 가질 가능성을 뒷받침하는 간접적 실증 근거.</t>
        </is>
      </c>
    </row>
    <row r="5">
      <c r="A5" s="7" t="inlineStr">
        <is>
          <t>caffeoyl-CoA 자체 데이터 부재</t>
        </is>
      </c>
      <c r="B5" s="8" t="inlineStr">
        <is>
          <t>저장소의 모든 활성 데이터 파일(published.csv, T3PKS_cellfree_df.csv, substrate_prediction_df.csv, xtra_substrates.csv)을 확인했으나 caffeoyl-CoA가 실제 테스트된 기록은 전무함 — smiles_combined.csv에 SMILES만 등록되어 있고 실사용되지 않음.</t>
        </is>
      </c>
    </row>
    <row r="6">
      <c r="A6" s="7" t="inlineStr">
        <is>
          <t>13개 잔기 세트</t>
        </is>
      </c>
      <c r="B6" s="8" t="inlineStr">
        <is>
          <t>MsCHS 넘버링 132,133,164,194,197,215,256,265,303,336,338,375 (논문 Methods와 정확히 일치) + His257(논문 descriptive ML에서 가장 중요한 잔기로 지목) 추가.</t>
        </is>
      </c>
    </row>
    <row r="7">
      <c r="A7" s="7" t="inlineStr">
        <is>
          <t>우선순위 로직</t>
        </is>
      </c>
      <c r="B7" s="8" t="inlineStr">
        <is>
          <t>1순위: 논문 실제 데이터에서 coumaroyl-CoA 활성 확인된 매칭(containment&gt;=0.7) → 2순위: 논문 실제 데이터에서 5개 이상 기질에 활성 확인된 매칭 → 3순위: HvCHS2 13-잔기 패턴 유사도 높은 순. 노란색=coumaroyl-CoA 실활성 확인, 초록색=기타 실데이터 매칭, 회색=삼합체 손상(제외 권장).</t>
        </is>
      </c>
    </row>
    <row r="8">
      <c r="A8" s="7" t="inlineStr">
        <is>
          <t>한계</t>
        </is>
      </c>
      <c r="B8" s="8" t="inlineStr">
        <is>
          <t>잔기 유사도는 서열 기반 1차 스크리닝 힌트이며 구조 검증 없음. 실데이터 매칭도 대상 유전자가 caffeoyl-CoA로 직접 테스트된 적은 없어 promiscuity를 통한 간접 추정에 불과함.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2026-08-09T11:00:22Z</dcterms:created>
  <dcterms:modified xmlns:dcterms="http://purl.org/dc/terms/" xmlns:xsi="http://www.w3.org/2001/XMLSchema-instance" xsi:type="dcterms:W3CDTF">2026-08-09T11:00:22Z</dcterms:modified>
</cp:coreProperties>
</file>